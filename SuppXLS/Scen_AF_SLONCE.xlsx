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"/>
    </mc:Choice>
  </mc:AlternateContent>
  <xr:revisionPtr revIDLastSave="10" documentId="11_6CA2B8D53C3CB10E37BE69671D34EC3272B107FF" xr6:coauthVersionLast="47" xr6:coauthVersionMax="47" xr10:uidLastSave="{AE640060-1224-4894-9D58-8AA727332DFB}"/>
  <bookViews>
    <workbookView xWindow="-120" yWindow="-120" windowWidth="38640" windowHeight="21240" xr2:uid="{00000000-000D-0000-FFFF-FFFF00000000}"/>
  </bookViews>
  <sheets>
    <sheet name="AF_SLO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7" i="2" l="1"/>
  <c r="J17" i="2" l="1"/>
  <c r="I26" i="2"/>
  <c r="J26" i="2" s="1"/>
  <c r="I23" i="2"/>
  <c r="J23" i="2" s="1"/>
  <c r="I20" i="2"/>
  <c r="J20" i="2" s="1"/>
  <c r="I29" i="2" l="1"/>
  <c r="J29" i="2" s="1"/>
</calcChain>
</file>

<file path=xl/sharedStrings.xml><?xml version="1.0" encoding="utf-8"?>
<sst xmlns="http://schemas.openxmlformats.org/spreadsheetml/2006/main" count="54" uniqueCount="37">
  <si>
    <t>Pset_CI</t>
  </si>
  <si>
    <t>Year</t>
  </si>
  <si>
    <t>Pset_CO</t>
  </si>
  <si>
    <t>Attribute</t>
  </si>
  <si>
    <t>LimType</t>
  </si>
  <si>
    <t>~TFM_INS</t>
  </si>
  <si>
    <t>TimeSlice</t>
  </si>
  <si>
    <t>1_WIOSNA</t>
  </si>
  <si>
    <t>2_LATO</t>
  </si>
  <si>
    <t>3_JESIEN</t>
  </si>
  <si>
    <t>4_ZIMA</t>
  </si>
  <si>
    <t>UP</t>
  </si>
  <si>
    <t>SLONCE</t>
  </si>
  <si>
    <t>ELE_SN</t>
  </si>
  <si>
    <t>Sezonowy wskaźnik dyspozycyjności dla Fotowoltaiki</t>
  </si>
  <si>
    <t>Fixed angle</t>
  </si>
  <si>
    <t>Month</t>
  </si>
  <si>
    <t>E_m</t>
  </si>
  <si>
    <t>E_m: Average monthly energy production from the given system (kWh/mo)</t>
  </si>
  <si>
    <t>PVGIS (c) European Union, 2001-2022</t>
  </si>
  <si>
    <t>Latitude (decimal degrees):</t>
  </si>
  <si>
    <t>Longitude (decimal degrees):</t>
  </si>
  <si>
    <t>Radiation database:</t>
  </si>
  <si>
    <t>PVGIS-SARAH2</t>
  </si>
  <si>
    <t>Nominal power of the PV system (c-Si) (kWp):</t>
  </si>
  <si>
    <t>System losses(%):</t>
  </si>
  <si>
    <t>Fixed slope of modules (deg.) (optimum):</t>
  </si>
  <si>
    <t>Orientation (azimuth) of modules (deg.) (optimum):</t>
  </si>
  <si>
    <t>Nazwa atrybutu</t>
  </si>
  <si>
    <t>Rok</t>
  </si>
  <si>
    <t>Wartość</t>
  </si>
  <si>
    <t>Filtr procesów: nazwa dobra na wejściu</t>
  </si>
  <si>
    <t>Filtr procesów: nazwa dobra na wyjściu</t>
  </si>
  <si>
    <t>\I: Nazwa podokresu</t>
  </si>
  <si>
    <t>Znak w równaniu ograniczenia</t>
  </si>
  <si>
    <t>AF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</si>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</sst>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Te\x\t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3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5" fillId="2" borderId="0" xfId="0" applyFont="1" applyFill="1" applyAlignment="1">
      <alignment horizontal="left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5" borderId="0" xfId="0" applyFont="1" applyFill="1"/>
    <xf numFmtId="164" fontId="8" fillId="5" borderId="0" xfId="0" applyNumberFormat="1" applyFont="1" applyFill="1"/>
    <xf numFmtId="0" fontId="8" fillId="6" borderId="0" xfId="0" applyFont="1" applyFill="1"/>
    <xf numFmtId="164" fontId="8" fillId="6" borderId="0" xfId="0" applyNumberFormat="1" applyFont="1" applyFill="1"/>
    <xf numFmtId="0" fontId="8" fillId="5" borderId="3" xfId="0" applyFont="1" applyFill="1" applyBorder="1"/>
  </cellXfs>
  <cellStyles count="3">
    <cellStyle name="Normal" xfId="0" builtinId="0"/>
    <cellStyle name="Normal 10" xfId="1" xr:uid="{00000000-0005-0000-0000-000000000000}"/>
    <cellStyle name="Normale_Scen_UC_IND-StrucConst" xfId="2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1"/>
  <sheetViews>
    <sheetView tabSelected="1" workbookViewId="0">
      <selection activeCell="F6" sqref="F6"/>
    </sheetView>
  </sheetViews>
  <sheetFormatPr defaultRowHeight="15" x14ac:dyDescent="0.25"/>
  <cols>
    <col min="1" max="1" width="2.85546875" customWidth="1"/>
    <col min="2" max="2" width="10.5703125" bestFit="1" customWidth="1"/>
    <col min="3" max="3" width="11.28515625" customWidth="1"/>
    <col min="4" max="4" width="9.28515625" bestFit="1" customWidth="1"/>
    <col min="5" max="5" width="5.140625" bestFit="1" customWidth="1"/>
    <col min="6" max="6" width="11.5703125" bestFit="1" customWidth="1"/>
    <col min="7" max="10" width="13.140625" customWidth="1"/>
  </cols>
  <sheetData>
    <row r="1" spans="2:8" ht="12.75" customHeight="1" x14ac:dyDescent="0.25"/>
    <row r="2" spans="2:8" ht="18" x14ac:dyDescent="0.25">
      <c r="B2" s="3" t="s">
        <v>14</v>
      </c>
      <c r="C2" s="3"/>
      <c r="D2" s="3"/>
      <c r="E2" s="3"/>
      <c r="F2" s="3"/>
      <c r="G2" s="3"/>
      <c r="H2" s="3"/>
    </row>
    <row r="3" spans="2:8" ht="12.75" customHeight="1" x14ac:dyDescent="0.25"/>
    <row r="4" spans="2:8" ht="15.75" customHeight="1" x14ac:dyDescent="0.25">
      <c r="B4" s="1" t="s">
        <v>5</v>
      </c>
      <c r="G4" s="2"/>
      <c r="H4" s="2"/>
    </row>
    <row r="5" spans="2:8" ht="15.75" customHeight="1" x14ac:dyDescent="0.25">
      <c r="B5" s="4" t="s">
        <v>6</v>
      </c>
      <c r="C5" s="4" t="s">
        <v>4</v>
      </c>
      <c r="D5" s="4" t="s">
        <v>3</v>
      </c>
      <c r="E5" s="4" t="s">
        <v>1</v>
      </c>
      <c r="F5" s="5" t="s">
        <v>36</v>
      </c>
      <c r="G5" s="4" t="s">
        <v>0</v>
      </c>
      <c r="H5" s="4" t="s">
        <v>2</v>
      </c>
    </row>
    <row r="6" spans="2:8" ht="48.2" customHeight="1" thickBot="1" x14ac:dyDescent="0.3">
      <c r="B6" s="6" t="s">
        <v>33</v>
      </c>
      <c r="C6" s="6" t="s">
        <v>34</v>
      </c>
      <c r="D6" s="6" t="s">
        <v>28</v>
      </c>
      <c r="E6" s="6" t="s">
        <v>29</v>
      </c>
      <c r="F6" s="7" t="s">
        <v>30</v>
      </c>
      <c r="G6" s="6" t="s">
        <v>31</v>
      </c>
      <c r="H6" s="6" t="s">
        <v>32</v>
      </c>
    </row>
    <row r="7" spans="2:8" ht="15.75" customHeight="1" x14ac:dyDescent="0.25">
      <c r="B7" s="8" t="s">
        <v>7</v>
      </c>
      <c r="C7" s="8" t="s">
        <v>11</v>
      </c>
      <c r="D7" s="8" t="s">
        <v>35</v>
      </c>
      <c r="E7" s="8">
        <v>2020</v>
      </c>
      <c r="F7" s="9">
        <v>1.9601598173515981E-2</v>
      </c>
      <c r="G7" s="8" t="s">
        <v>12</v>
      </c>
      <c r="H7" s="8" t="s">
        <v>13</v>
      </c>
    </row>
    <row r="8" spans="2:8" ht="15.75" customHeight="1" x14ac:dyDescent="0.25">
      <c r="B8" s="10" t="s">
        <v>8</v>
      </c>
      <c r="C8" s="10" t="s">
        <v>11</v>
      </c>
      <c r="D8" s="10" t="s">
        <v>35</v>
      </c>
      <c r="E8" s="10">
        <v>2020</v>
      </c>
      <c r="F8" s="11">
        <v>4.3835616438356165E-2</v>
      </c>
      <c r="G8" s="10" t="s">
        <v>12</v>
      </c>
      <c r="H8" s="10" t="s">
        <v>13</v>
      </c>
    </row>
    <row r="9" spans="2:8" ht="15.75" customHeight="1" x14ac:dyDescent="0.25">
      <c r="B9" s="8" t="s">
        <v>9</v>
      </c>
      <c r="C9" s="8" t="s">
        <v>11</v>
      </c>
      <c r="D9" s="8" t="s">
        <v>35</v>
      </c>
      <c r="E9" s="8">
        <v>2020</v>
      </c>
      <c r="F9" s="9">
        <v>4.1236301369863018E-2</v>
      </c>
      <c r="G9" s="8" t="s">
        <v>12</v>
      </c>
      <c r="H9" s="8" t="s">
        <v>13</v>
      </c>
    </row>
    <row r="10" spans="2:8" ht="15.75" customHeight="1" x14ac:dyDescent="0.25">
      <c r="B10" s="10" t="s">
        <v>10</v>
      </c>
      <c r="C10" s="10" t="s">
        <v>11</v>
      </c>
      <c r="D10" s="10" t="s">
        <v>35</v>
      </c>
      <c r="E10" s="10">
        <v>2020</v>
      </c>
      <c r="F10" s="11">
        <v>1.644634703196347E-2</v>
      </c>
      <c r="G10" s="10" t="s">
        <v>12</v>
      </c>
      <c r="H10" s="10" t="s">
        <v>13</v>
      </c>
    </row>
    <row r="11" spans="2:8" ht="15.75" customHeight="1" thickBot="1" x14ac:dyDescent="0.3">
      <c r="B11" s="12"/>
      <c r="C11" s="12" t="s">
        <v>11</v>
      </c>
      <c r="D11" s="12" t="s">
        <v>35</v>
      </c>
      <c r="E11" s="12">
        <v>0</v>
      </c>
      <c r="F11" s="12">
        <v>5</v>
      </c>
      <c r="G11" s="12" t="s">
        <v>12</v>
      </c>
      <c r="H11" s="12" t="s">
        <v>13</v>
      </c>
    </row>
    <row r="15" spans="2:8" x14ac:dyDescent="0.25">
      <c r="B15" t="s">
        <v>19</v>
      </c>
      <c r="F15" t="s">
        <v>15</v>
      </c>
    </row>
    <row r="16" spans="2:8" x14ac:dyDescent="0.25">
      <c r="F16" t="s">
        <v>16</v>
      </c>
      <c r="G16" t="s">
        <v>17</v>
      </c>
    </row>
    <row r="17" spans="2:10" x14ac:dyDescent="0.25">
      <c r="B17" t="s">
        <v>20</v>
      </c>
      <c r="C17">
        <v>51.801000000000002</v>
      </c>
      <c r="F17">
        <v>1</v>
      </c>
      <c r="G17">
        <v>35.5</v>
      </c>
      <c r="I17">
        <f>G17+G18+G19</f>
        <v>171.70999999999998</v>
      </c>
      <c r="J17">
        <f>I17/8760</f>
        <v>1.9601598173515981E-2</v>
      </c>
    </row>
    <row r="18" spans="2:10" x14ac:dyDescent="0.25">
      <c r="B18" t="s">
        <v>21</v>
      </c>
      <c r="C18">
        <v>19.754000000000001</v>
      </c>
      <c r="F18">
        <v>2</v>
      </c>
      <c r="G18">
        <v>47.85</v>
      </c>
    </row>
    <row r="19" spans="2:10" x14ac:dyDescent="0.25">
      <c r="B19" t="s">
        <v>22</v>
      </c>
      <c r="C19" t="s">
        <v>23</v>
      </c>
      <c r="F19">
        <v>3</v>
      </c>
      <c r="G19">
        <v>88.36</v>
      </c>
    </row>
    <row r="20" spans="2:10" x14ac:dyDescent="0.25">
      <c r="B20" t="s">
        <v>24</v>
      </c>
      <c r="C20">
        <v>1</v>
      </c>
      <c r="F20">
        <v>4</v>
      </c>
      <c r="G20">
        <v>122.53</v>
      </c>
      <c r="I20">
        <f t="shared" ref="I20" si="0">G20+G21+G22</f>
        <v>384</v>
      </c>
      <c r="J20">
        <f>I20/8760</f>
        <v>4.3835616438356165E-2</v>
      </c>
    </row>
    <row r="21" spans="2:10" x14ac:dyDescent="0.25">
      <c r="B21" t="s">
        <v>25</v>
      </c>
      <c r="C21">
        <v>14</v>
      </c>
      <c r="F21">
        <v>5</v>
      </c>
      <c r="G21">
        <v>129.81</v>
      </c>
    </row>
    <row r="22" spans="2:10" x14ac:dyDescent="0.25">
      <c r="B22" t="s">
        <v>26</v>
      </c>
      <c r="C22">
        <v>39</v>
      </c>
      <c r="F22">
        <v>6</v>
      </c>
      <c r="G22">
        <v>131.66</v>
      </c>
    </row>
    <row r="23" spans="2:10" x14ac:dyDescent="0.25">
      <c r="B23" t="s">
        <v>27</v>
      </c>
      <c r="C23">
        <v>-3</v>
      </c>
      <c r="F23">
        <v>7</v>
      </c>
      <c r="G23">
        <v>129.21</v>
      </c>
      <c r="I23">
        <f t="shared" ref="I23" si="1">G23+G24+G25</f>
        <v>361.23</v>
      </c>
      <c r="J23">
        <f>I23/8760</f>
        <v>4.1236301369863018E-2</v>
      </c>
    </row>
    <row r="24" spans="2:10" x14ac:dyDescent="0.25">
      <c r="F24">
        <v>8</v>
      </c>
      <c r="G24">
        <v>126.13</v>
      </c>
    </row>
    <row r="25" spans="2:10" x14ac:dyDescent="0.25">
      <c r="F25">
        <v>9</v>
      </c>
      <c r="G25">
        <v>105.89</v>
      </c>
    </row>
    <row r="26" spans="2:10" x14ac:dyDescent="0.25">
      <c r="F26">
        <v>10</v>
      </c>
      <c r="G26">
        <v>76.069999999999993</v>
      </c>
      <c r="I26">
        <f t="shared" ref="I26" si="2">G26+G27+G28</f>
        <v>144.07</v>
      </c>
      <c r="J26">
        <f>I26/8760</f>
        <v>1.644634703196347E-2</v>
      </c>
    </row>
    <row r="27" spans="2:10" x14ac:dyDescent="0.25">
      <c r="F27">
        <v>11</v>
      </c>
      <c r="G27">
        <v>37.770000000000003</v>
      </c>
    </row>
    <row r="28" spans="2:10" x14ac:dyDescent="0.25">
      <c r="F28">
        <v>12</v>
      </c>
      <c r="G28">
        <v>30.23</v>
      </c>
    </row>
    <row r="29" spans="2:10" x14ac:dyDescent="0.25">
      <c r="F29" t="s">
        <v>1</v>
      </c>
      <c r="G29">
        <v>88.42</v>
      </c>
      <c r="I29">
        <f>SUM(I17:I28)</f>
        <v>1061.01</v>
      </c>
      <c r="J29">
        <f>I29/8760</f>
        <v>0.12111986301369863</v>
      </c>
    </row>
    <row r="31" spans="2:10" x14ac:dyDescent="0.25">
      <c r="F3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Props1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D25C4F-91E1-4AB6-AD4D-05DB6D73DED3}"/>
</file>

<file path=customXml/itemProps3.xml><?xml version="1.0" encoding="utf-8"?>
<ds:datastoreItem xmlns:ds="http://schemas.openxmlformats.org/officeDocument/2006/customXml" ds:itemID="{5FD0B336-FFC1-4D47-AE67-60EF052A00DD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8acd6055-54fc-4ce7-b3df-0a09834a0329"/>
    <ds:schemaRef ds:uri="http://purl.org/dc/terms/"/>
    <ds:schemaRef ds:uri="http://schemas.microsoft.com/office/infopath/2007/PartnerControls"/>
    <ds:schemaRef ds:uri="708d6b01-37ca-4db4-bc7f-9b68f32c58b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AF_SLONCE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awyrwa</cp:lastModifiedBy>
  <dcterms:created xsi:type="dcterms:W3CDTF">2009-05-27T15:40:55Z</dcterms:created>
  <dcterms:modified xsi:type="dcterms:W3CDTF">2022-08-16T12:34:32Z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897804379463195</vt:r8>
  </property>
</Properties>
</file>