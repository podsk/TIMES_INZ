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2\Veda_models\KSE\"/>
    </mc:Choice>
  </mc:AlternateContent>
  <xr:revisionPtr revIDLastSave="0" documentId="13_ncr:1_{40F446F1-2C93-4D35-83F4-893E1E8138AF}" xr6:coauthVersionLast="47" xr6:coauthVersionMax="47" xr10:uidLastSave="{00000000-0000-0000-0000-000000000000}"/>
  <bookViews>
    <workbookView xWindow="-120" yWindow="-120" windowWidth="29040" windowHeight="15840" tabRatio="901" activeTab="4" xr2:uid="{00000000-000D-0000-FFFF-FFFF00000000}"/>
  </bookViews>
  <sheets>
    <sheet name="BILANS" sheetId="141" r:id="rId1"/>
    <sheet name="SEC_Comm" sheetId="112" r:id="rId2"/>
    <sheet name="SEC_Processes" sheetId="140" r:id="rId3"/>
    <sheet name="SEKTORY_KONCOWE" sheetId="139" r:id="rId4"/>
    <sheet name="POPYT" sheetId="128" r:id="rId5"/>
  </sheets>
  <externalReferences>
    <externalReference r:id="rId6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28" l="1"/>
  <c r="E7" i="128"/>
  <c r="F7" i="128"/>
  <c r="G7" i="128"/>
  <c r="C7" i="128"/>
  <c r="D31" i="141"/>
  <c r="D30" i="141"/>
  <c r="E14" i="141"/>
  <c r="D14" i="141"/>
  <c r="C7" i="139" l="1"/>
  <c r="B7" i="139"/>
  <c r="E7" i="139" l="1"/>
  <c r="D7" i="139"/>
  <c r="B7" i="1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7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" authorId="2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" authorId="2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" authorId="2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</authors>
  <commentList>
    <comment ref="B7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7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<sst xmlns="http://schemas.openxmlformats.org/spreadsheetml/2006/main" count="128" uniqueCount="110">
  <si>
    <t>*Bilans energii</t>
  </si>
  <si>
    <t>Tabela: Syntetyczny bilans energii dla rozpatrywanego systemu w 2020 r.</t>
  </si>
  <si>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</si>
  <si>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</si>
  <si>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</si>
  <si>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</si>
  <si>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</si>
  <si>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</si>
  <si>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</si>
  <si>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</si>
  <si>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tys.t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</si>
  <si>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</si>
  <si>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</si>
  <si>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</si>
  <si>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r>
      <t>Elektrownie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</si>
  <si>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węglu brunatnym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</si>
  <si>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Elektrociepłownie na węglu kamiennym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</si>
  <si>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na gazie ziemnym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</si>
  <si>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wiatrowe</t>
    </r>
    <r>
      <rPr>
        <b/>
        <vertAlign val="superscript"/>
        <sz val="10"/>
        <rFont val="Times New Roman"/>
        <family val="1"/>
        <charset val="238"/>
      </rPr>
      <t>1</t>
    </r>
  </si>
  <si>
    <r>
      <t>Elektrownie słoneczne</t>
    </r>
    <r>
      <rPr>
        <b/>
        <vertAlign val="superscript"/>
        <sz val="10"/>
        <rFont val="Times New Roman"/>
        <family val="1"/>
        <charset val="238"/>
      </rPr>
      <t>1</t>
    </r>
  </si>
  <si>
    <r>
      <t>Ciepłownie</t>
    </r>
    <r>
      <rPr>
        <b/>
        <vertAlign val="superscript"/>
        <sz val="10"/>
        <rFont val="Times New Roman"/>
        <family val="1"/>
        <charset val="238"/>
      </rPr>
      <t>2</t>
    </r>
  </si>
  <si>
    <t>Razem</t>
  </si>
  <si>
    <t>Źródło:</t>
  </si>
  <si>
    <t>1) opracowanie własne na podstawie "Statystyka Elektroenergetyki Polskiej 2020" - Ministerstwo Klimatu i Środowiska, Agencja Rynku Energii S.A., Warszawa 2021.</t>
  </si>
  <si>
    <t>2) EUROSTAT NRG_BAL, NRG_BAL_PEH.</t>
  </si>
  <si>
    <t>Tabela: Sprawności przesyłu i transformacji nośników energii w sieci w 2020 r.</t>
  </si>
  <si>
    <t>Nośnik energii</t>
  </si>
  <si>
    <t>Przesył i transformacja</t>
  </si>
  <si>
    <t>Sprawność</t>
  </si>
  <si>
    <t>Energie elektryczna</t>
  </si>
  <si>
    <t>WN-nn</t>
  </si>
  <si>
    <t>Energia elektryczna</t>
  </si>
  <si>
    <t>SN-nn</t>
  </si>
  <si>
    <t>Energia cieplna</t>
  </si>
  <si>
    <t>WT-NT</t>
  </si>
  <si>
    <t>Źródło: Opracowanie własne.</t>
  </si>
  <si>
    <t>Tabela: Zapotrzebowanie na energię końcową w 2020 r.</t>
  </si>
  <si>
    <t>Jednostka</t>
  </si>
  <si>
    <t>Zapotrzebowanie końcowe</t>
  </si>
  <si>
    <t>[TWh]</t>
  </si>
  <si>
    <t>[PJ]</t>
  </si>
  <si>
    <t>* Zdefiniuj dobra wykorzystywane w arkuszu</t>
  </si>
  <si>
    <t>*Surowce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</si>
  <si>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</si>
  <si>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</si>
  <si>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</si>
  <si>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</si>
  <si>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</si>
  <si>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</si>
  <si>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</si>
  <si>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</si>
  <si>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</si>
  <si>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</si>
  <si>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</si>
  <si>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</si>
  <si>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Znak w równaniu bilansu</t>
  </si>
  <si>
    <t>Poziom podokresów</t>
  </si>
  <si>
    <t>Monitorowanie szczytu</t>
  </si>
  <si>
    <t>Wskaźnik energii elektrycznej</t>
  </si>
  <si>
    <t>NRG</t>
  </si>
  <si>
    <t>ELE_nn</t>
  </si>
  <si>
    <t>Energia elektryczna niskie napiecie</t>
  </si>
  <si>
    <t>PJ</t>
  </si>
  <si>
    <t>DAYNITE</t>
  </si>
  <si>
    <t>ANNUAL</t>
  </si>
  <si>
    <t>ELC</t>
  </si>
  <si>
    <t>DEM</t>
  </si>
  <si>
    <t>ELE_UZYTEK</t>
  </si>
  <si>
    <t>Energia elektryczna uzytkowa</t>
  </si>
  <si>
    <t>* Zdefiniuj procesy wykorzystywane w arkuszu</t>
  </si>
  <si>
    <t>*Procesy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</si>
  <si>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</si>
  <si>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</si>
  <si>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</si>
  <si>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</si>
  <si>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</si>
  <si>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</si>
  <si>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</si>
  <si>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</si>
  <si>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</si>
  <si>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</si>
  <si>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</si>
  <si>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</si>
  <si>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</si>
  <si>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</si>
  <si>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</si>
  <si>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</si>
  <si>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</si>
  <si>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</si>
  <si>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</si>
  <si>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DMD</t>
  </si>
  <si>
    <t>PL</t>
  </si>
  <si>
    <t>ELE_ODBIORY_KONCOWE</t>
  </si>
  <si>
    <t>Procesy przetwarzania energii finalnej na uzyteczna</t>
  </si>
  <si>
    <t>NO</t>
  </si>
  <si>
    <t>*Technologie odbiorcze</t>
  </si>
  <si>
    <t>~FI_T</t>
  </si>
  <si>
    <t>*TechDesc</t>
  </si>
  <si>
    <t>Comm-IN</t>
  </si>
  <si>
    <t>Comm-OUT</t>
  </si>
  <si>
    <t>EFF</t>
  </si>
  <si>
    <t>CAP2ACT</t>
  </si>
  <si>
    <t>* Nazwa technologii</t>
  </si>
  <si>
    <t>Surowiec na wejściu</t>
  </si>
  <si>
    <t>Surowiec na wyjściu</t>
  </si>
  <si>
    <t>Przelicznik mocy na aktywność</t>
  </si>
  <si>
    <t>*Popyt na dobra</t>
  </si>
  <si>
    <t>~FI_T:DEMAND</t>
  </si>
  <si>
    <t>* Nazwa dobra</t>
  </si>
  <si>
    <t>Wartość roczna popytu na dobro [PJ]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</si>
</sst>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€_-;\-* #,##0.00\ _€_-;_-* &quot;-&quot;??\ _€_-;_-@_-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#,##0.00\ &quot;Pts&quot;;[Red]\-#,##0.00\ &quot;Pts&quot;"/>
    <numFmt numFmtId="176" formatCode="#,##0."/>
    <numFmt numFmtId="177" formatCode="&quot;$&quot;#."/>
    <numFmt numFmtId="178" formatCode="m/d/yy\ h:mm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#,##0___)"/>
    <numFmt numFmtId="186" formatCode="#,##0.000___)"/>
    <numFmt numFmtId="187" formatCode="0.000"/>
    <numFmt numFmtId="188" formatCode="0.0000"/>
  </numFmts>
  <fonts count="123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sz val="9"/>
      <color indexed="81"/>
      <name val="Tahoma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2"/>
      <color indexed="9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vertAlign val="superscript"/>
      <sz val="10"/>
      <name val="Times New Roman"/>
      <family val="1"/>
      <charset val="238"/>
    </font>
    <font>
      <sz val="12"/>
      <name val="Times New Roman"/>
      <family val="1"/>
      <charset val="238"/>
    </font>
    <font>
      <sz val="14"/>
      <name val="Times New Roman"/>
      <family val="1"/>
      <charset val="238"/>
    </font>
    <font>
      <b/>
      <vertAlign val="superscript"/>
      <sz val="10"/>
      <name val="Times New Roman"/>
      <family val="1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58">
    <xf numFmtId="0" fontId="0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1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58" fillId="2" borderId="0" applyNumberFormat="0" applyBorder="0" applyAlignment="0" applyProtection="0"/>
    <xf numFmtId="0" fontId="58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1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58" fillId="3" borderId="0" applyNumberFormat="0" applyBorder="0" applyAlignment="0" applyProtection="0"/>
    <xf numFmtId="0" fontId="58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1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58" fillId="5" borderId="0" applyNumberFormat="0" applyBorder="0" applyAlignment="0" applyProtection="0"/>
    <xf numFmtId="0" fontId="58" fillId="5" borderId="0" applyNumberFormat="0" applyBorder="0" applyAlignment="0" applyProtection="0"/>
    <xf numFmtId="0" fontId="1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58" fillId="5" borderId="0" applyNumberFormat="0" applyBorder="0" applyAlignment="0" applyProtection="0"/>
    <xf numFmtId="0" fontId="58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1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8" fillId="6" borderId="0" applyNumberFormat="0" applyBorder="0" applyAlignment="0" applyProtection="0"/>
    <xf numFmtId="0" fontId="58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58" fillId="7" borderId="0" applyNumberFormat="0" applyBorder="0" applyAlignment="0" applyProtection="0"/>
    <xf numFmtId="0" fontId="58" fillId="7" borderId="0" applyNumberFormat="0" applyBorder="0" applyAlignment="0" applyProtection="0"/>
    <xf numFmtId="0" fontId="1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58" fillId="7" borderId="0" applyNumberFormat="0" applyBorder="0" applyAlignment="0" applyProtection="0"/>
    <xf numFmtId="0" fontId="58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58" fillId="8" borderId="0" applyNumberFormat="0" applyBorder="0" applyAlignment="0" applyProtection="0"/>
    <xf numFmtId="0" fontId="58" fillId="8" borderId="0" applyNumberFormat="0" applyBorder="0" applyAlignment="0" applyProtection="0"/>
    <xf numFmtId="0" fontId="1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58" fillId="8" borderId="0" applyNumberFormat="0" applyBorder="0" applyAlignment="0" applyProtection="0"/>
    <xf numFmtId="0" fontId="58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8" fillId="9" borderId="0" applyNumberFormat="0" applyBorder="0" applyAlignment="0" applyProtection="0"/>
    <xf numFmtId="0" fontId="58" fillId="9" borderId="0" applyNumberFormat="0" applyBorder="0" applyAlignment="0" applyProtection="0"/>
    <xf numFmtId="0" fontId="1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58" fillId="9" borderId="0" applyNumberFormat="0" applyBorder="0" applyAlignment="0" applyProtection="0"/>
    <xf numFmtId="0" fontId="58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8" fillId="10" borderId="0" applyNumberFormat="0" applyBorder="0" applyAlignment="0" applyProtection="0"/>
    <xf numFmtId="0" fontId="58" fillId="10" borderId="0" applyNumberFormat="0" applyBorder="0" applyAlignment="0" applyProtection="0"/>
    <xf numFmtId="0" fontId="1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8" fillId="10" borderId="0" applyNumberFormat="0" applyBorder="0" applyAlignment="0" applyProtection="0"/>
    <xf numFmtId="0" fontId="58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58" fillId="5" borderId="0" applyNumberFormat="0" applyBorder="0" applyAlignment="0" applyProtection="0"/>
    <xf numFmtId="0" fontId="58" fillId="5" borderId="0" applyNumberFormat="0" applyBorder="0" applyAlignment="0" applyProtection="0"/>
    <xf numFmtId="0" fontId="1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58" fillId="5" borderId="0" applyNumberFormat="0" applyBorder="0" applyAlignment="0" applyProtection="0"/>
    <xf numFmtId="0" fontId="58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58" fillId="8" borderId="0" applyNumberFormat="0" applyBorder="0" applyAlignment="0" applyProtection="0"/>
    <xf numFmtId="0" fontId="58" fillId="8" borderId="0" applyNumberFormat="0" applyBorder="0" applyAlignment="0" applyProtection="0"/>
    <xf numFmtId="0" fontId="1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58" fillId="8" borderId="0" applyNumberFormat="0" applyBorder="0" applyAlignment="0" applyProtection="0"/>
    <xf numFmtId="0" fontId="58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58" fillId="11" borderId="0" applyNumberFormat="0" applyBorder="0" applyAlignment="0" applyProtection="0"/>
    <xf numFmtId="0" fontId="58" fillId="11" borderId="0" applyNumberFormat="0" applyBorder="0" applyAlignment="0" applyProtection="0"/>
    <xf numFmtId="0" fontId="1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58" fillId="11" borderId="0" applyNumberFormat="0" applyBorder="0" applyAlignment="0" applyProtection="0"/>
    <xf numFmtId="0" fontId="58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59" fillId="12" borderId="0" applyNumberFormat="0" applyBorder="0" applyAlignment="0" applyProtection="0"/>
    <xf numFmtId="0" fontId="59" fillId="12" borderId="0" applyNumberFormat="0" applyBorder="0" applyAlignment="0" applyProtection="0"/>
    <xf numFmtId="0" fontId="1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3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59" fillId="12" borderId="0" applyNumberFormat="0" applyBorder="0" applyAlignment="0" applyProtection="0"/>
    <xf numFmtId="0" fontId="59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59" fillId="13" borderId="0" applyNumberFormat="0" applyBorder="0" applyAlignment="0" applyProtection="0"/>
    <xf numFmtId="0" fontId="59" fillId="13" borderId="0" applyNumberFormat="0" applyBorder="0" applyAlignment="0" applyProtection="0"/>
    <xf numFmtId="0" fontId="14" fillId="13" borderId="0" applyNumberFormat="0" applyBorder="0" applyAlignment="0" applyProtection="0"/>
    <xf numFmtId="0" fontId="10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59" fillId="13" borderId="0" applyNumberFormat="0" applyBorder="0" applyAlignment="0" applyProtection="0"/>
    <xf numFmtId="0" fontId="59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1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1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3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59" fillId="15" borderId="0" applyNumberFormat="0" applyBorder="0" applyAlignment="0" applyProtection="0"/>
    <xf numFmtId="0" fontId="59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175" fontId="6" fillId="20" borderId="1">
      <alignment horizontal="center" vertical="center"/>
    </xf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59" fillId="16" borderId="0" applyNumberFormat="0" applyBorder="0" applyAlignment="0" applyProtection="0"/>
    <xf numFmtId="0" fontId="59" fillId="16" borderId="0" applyNumberFormat="0" applyBorder="0" applyAlignment="0" applyProtection="0"/>
    <xf numFmtId="0" fontId="1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3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59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59" fillId="17" borderId="0" applyNumberFormat="0" applyBorder="0" applyAlignment="0" applyProtection="0"/>
    <xf numFmtId="0" fontId="59" fillId="17" borderId="0" applyNumberFormat="0" applyBorder="0" applyAlignment="0" applyProtection="0"/>
    <xf numFmtId="0" fontId="1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3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59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59" fillId="18" borderId="0" applyNumberFormat="0" applyBorder="0" applyAlignment="0" applyProtection="0"/>
    <xf numFmtId="0" fontId="59" fillId="18" borderId="0" applyNumberFormat="0" applyBorder="0" applyAlignment="0" applyProtection="0"/>
    <xf numFmtId="0" fontId="1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3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59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59" fillId="13" borderId="0" applyNumberFormat="0" applyBorder="0" applyAlignment="0" applyProtection="0"/>
    <xf numFmtId="0" fontId="59" fillId="13" borderId="0" applyNumberFormat="0" applyBorder="0" applyAlignment="0" applyProtection="0"/>
    <xf numFmtId="0" fontId="1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59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59" fillId="14" borderId="0" applyNumberFormat="0" applyBorder="0" applyAlignment="0" applyProtection="0"/>
    <xf numFmtId="0" fontId="59" fillId="14" borderId="0" applyNumberFormat="0" applyBorder="0" applyAlignment="0" applyProtection="0"/>
    <xf numFmtId="0" fontId="1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3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59" fillId="14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59" fillId="19" borderId="0" applyNumberFormat="0" applyBorder="0" applyAlignment="0" applyProtection="0"/>
    <xf numFmtId="0" fontId="59" fillId="19" borderId="0" applyNumberFormat="0" applyBorder="0" applyAlignment="0" applyProtection="0"/>
    <xf numFmtId="0" fontId="1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3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59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26" fillId="21" borderId="2" applyNumberFormat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7" fillId="22" borderId="4" applyNumberFormat="0" applyAlignment="0" applyProtection="0"/>
    <xf numFmtId="0" fontId="17" fillId="22" borderId="4" applyNumberFormat="0" applyAlignment="0" applyProtection="0"/>
    <xf numFmtId="0" fontId="35" fillId="0" borderId="0" applyNumberFormat="0" applyFill="0" applyBorder="0" applyAlignment="0" applyProtection="0"/>
    <xf numFmtId="176" fontId="82" fillId="0" borderId="0">
      <protection locked="0"/>
    </xf>
    <xf numFmtId="0" fontId="83" fillId="0" borderId="0"/>
    <xf numFmtId="0" fontId="84" fillId="0" borderId="0"/>
    <xf numFmtId="176" fontId="82" fillId="0" borderId="0">
      <protection locked="0"/>
    </xf>
    <xf numFmtId="177" fontId="82" fillId="0" borderId="0">
      <protection locked="0"/>
    </xf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60" fillId="7" borderId="3" applyNumberFormat="0" applyAlignment="0" applyProtection="0"/>
    <xf numFmtId="0" fontId="60" fillId="7" borderId="3" applyNumberFormat="0" applyAlignment="0" applyProtection="0"/>
    <xf numFmtId="0" fontId="23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60" fillId="7" borderId="3" applyNumberFormat="0" applyAlignment="0" applyProtection="0"/>
    <xf numFmtId="0" fontId="60" fillId="7" borderId="3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61" fillId="21" borderId="2" applyNumberFormat="0" applyAlignment="0" applyProtection="0"/>
    <xf numFmtId="0" fontId="61" fillId="21" borderId="2" applyNumberFormat="0" applyAlignment="0" applyProtection="0"/>
    <xf numFmtId="0" fontId="26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0" fontId="61" fillId="21" borderId="2" applyNumberFormat="0" applyAlignment="0" applyProtection="0"/>
    <xf numFmtId="0" fontId="61" fillId="21" borderId="2" applyNumberFormat="0" applyAlignment="0" applyProtection="0"/>
    <xf numFmtId="0" fontId="82" fillId="0" borderId="0">
      <protection locked="0"/>
    </xf>
    <xf numFmtId="178" fontId="6" fillId="0" borderId="0" applyFont="0" applyFill="0" applyBorder="0" applyAlignment="0" applyProtection="0">
      <alignment wrapText="1"/>
    </xf>
    <xf numFmtId="167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0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19" fillId="4" borderId="0" applyNumberFormat="0" applyBorder="0" applyAlignment="0" applyProtection="0"/>
    <xf numFmtId="0" fontId="105" fillId="41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62" fillId="4" borderId="0" applyNumberFormat="0" applyBorder="0" applyAlignment="0" applyProtection="0"/>
    <xf numFmtId="0" fontId="62" fillId="4" borderId="0" applyNumberFormat="0" applyBorder="0" applyAlignment="0" applyProtection="0"/>
    <xf numFmtId="0" fontId="23" fillId="7" borderId="3" applyNumberFormat="0" applyAlignment="0" applyProtection="0"/>
    <xf numFmtId="0" fontId="28" fillId="0" borderId="5" applyNumberFormat="0" applyFill="0" applyAlignment="0" applyProtection="0"/>
    <xf numFmtId="0" fontId="18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79" fontId="82" fillId="0" borderId="0">
      <protection locked="0"/>
    </xf>
    <xf numFmtId="0" fontId="85" fillId="0" borderId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38" fontId="7" fillId="23" borderId="0" applyNumberFormat="0" applyBorder="0" applyAlignment="0" applyProtection="0"/>
    <xf numFmtId="0" fontId="19" fillId="4" borderId="0" applyNumberFormat="0" applyBorder="0" applyAlignment="0" applyProtection="0"/>
    <xf numFmtId="0" fontId="86" fillId="0" borderId="0" applyNumberFormat="0" applyFill="0" applyBorder="0" applyAlignment="0" applyProtection="0"/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20" fillId="0" borderId="6" applyNumberFormat="0" applyFill="0" applyAlignment="0" applyProtection="0"/>
    <xf numFmtId="0" fontId="87" fillId="0" borderId="0">
      <protection locked="0"/>
    </xf>
    <xf numFmtId="0" fontId="20" fillId="0" borderId="6" applyNumberFormat="0" applyFill="0" applyAlignment="0" applyProtection="0"/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21" fillId="0" borderId="7" applyNumberFormat="0" applyFill="0" applyAlignment="0" applyProtection="0"/>
    <xf numFmtId="0" fontId="87" fillId="0" borderId="0">
      <protection locked="0"/>
    </xf>
    <xf numFmtId="0" fontId="21" fillId="0" borderId="7" applyNumberFormat="0" applyFill="0" applyAlignment="0" applyProtection="0"/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87" fillId="0" borderId="0">
      <protection locked="0"/>
    </xf>
    <xf numFmtId="0" fontId="87" fillId="0" borderId="0">
      <protection locked="0"/>
    </xf>
    <xf numFmtId="0" fontId="74" fillId="0" borderId="0" applyNumberFormat="0" applyFill="0" applyBorder="0" applyAlignment="0" applyProtection="0"/>
    <xf numFmtId="0" fontId="88" fillId="0" borderId="9" applyNumberFormat="0" applyFill="0" applyAlignment="0" applyProtection="0"/>
    <xf numFmtId="0" fontId="106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80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4" fontId="75" fillId="0" borderId="0" applyBorder="0">
      <alignment horizontal="right" vertical="center"/>
    </xf>
    <xf numFmtId="4" fontId="75" fillId="0" borderId="11">
      <alignment horizontal="right" vertical="center"/>
    </xf>
    <xf numFmtId="40" fontId="77" fillId="0" borderId="0" applyFont="0" applyFill="0" applyBorder="0" applyAlignment="0" applyProtection="0"/>
    <xf numFmtId="165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63" fillId="0" borderId="12" applyNumberFormat="0" applyFill="0" applyAlignment="0" applyProtection="0"/>
    <xf numFmtId="0" fontId="63" fillId="0" borderId="12" applyNumberFormat="0" applyFill="0" applyAlignment="0" applyProtection="0"/>
    <xf numFmtId="0" fontId="24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63" fillId="0" borderId="12" applyNumberFormat="0" applyFill="0" applyAlignment="0" applyProtection="0"/>
    <xf numFmtId="0" fontId="63" fillId="0" borderId="12" applyNumberFormat="0" applyFill="0" applyAlignment="0" applyProtection="0"/>
    <xf numFmtId="0" fontId="17" fillId="22" borderId="4" applyNumberFormat="0" applyAlignment="0" applyProtection="0"/>
    <xf numFmtId="0" fontId="17" fillId="22" borderId="4" applyNumberFormat="0" applyAlignment="0" applyProtection="0"/>
    <xf numFmtId="0" fontId="64" fillId="22" borderId="4" applyNumberFormat="0" applyAlignment="0" applyProtection="0"/>
    <xf numFmtId="0" fontId="64" fillId="22" borderId="4" applyNumberFormat="0" applyAlignment="0" applyProtection="0"/>
    <xf numFmtId="0" fontId="17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7" fillId="22" borderId="4" applyNumberFormat="0" applyAlignment="0" applyProtection="0"/>
    <xf numFmtId="0" fontId="17" fillId="22" borderId="4" applyNumberFormat="0" applyAlignment="0" applyProtection="0"/>
    <xf numFmtId="0" fontId="64" fillId="22" borderId="4" applyNumberFormat="0" applyAlignment="0" applyProtection="0"/>
    <xf numFmtId="0" fontId="24" fillId="0" borderId="12" applyNumberFormat="0" applyFill="0" applyAlignment="0" applyProtection="0"/>
    <xf numFmtId="0" fontId="24" fillId="0" borderId="12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65" fillId="0" borderId="6" applyNumberFormat="0" applyFill="0" applyAlignment="0" applyProtection="0"/>
    <xf numFmtId="0" fontId="65" fillId="0" borderId="6" applyNumberFormat="0" applyFill="0" applyAlignment="0" applyProtection="0"/>
    <xf numFmtId="0" fontId="20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65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66" fillId="0" borderId="7" applyNumberFormat="0" applyFill="0" applyAlignment="0" applyProtection="0"/>
    <xf numFmtId="0" fontId="66" fillId="0" borderId="7" applyNumberFormat="0" applyFill="0" applyAlignment="0" applyProtection="0"/>
    <xf numFmtId="0" fontId="21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21" fillId="0" borderId="7" applyNumberFormat="0" applyFill="0" applyAlignment="0" applyProtection="0"/>
    <xf numFmtId="0" fontId="21" fillId="0" borderId="7" applyNumberFormat="0" applyFill="0" applyAlignment="0" applyProtection="0"/>
    <xf numFmtId="0" fontId="66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67" fillId="0" borderId="8" applyNumberFormat="0" applyFill="0" applyAlignment="0" applyProtection="0"/>
    <xf numFmtId="0" fontId="67" fillId="0" borderId="8" applyNumberFormat="0" applyFill="0" applyAlignment="0" applyProtection="0"/>
    <xf numFmtId="0" fontId="22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67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25" fillId="25" borderId="0" applyNumberFormat="0" applyBorder="0" applyAlignment="0" applyProtection="0"/>
    <xf numFmtId="0" fontId="108" fillId="42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37" fontId="89" fillId="0" borderId="0"/>
    <xf numFmtId="165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6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3" fillId="0" borderId="0"/>
    <xf numFmtId="0" fontId="53" fillId="0" borderId="0"/>
    <xf numFmtId="0" fontId="54" fillId="0" borderId="0"/>
    <xf numFmtId="0" fontId="56" fillId="0" borderId="0"/>
    <xf numFmtId="0" fontId="45" fillId="0" borderId="0"/>
    <xf numFmtId="0" fontId="45" fillId="0" borderId="0"/>
    <xf numFmtId="0" fontId="78" fillId="0" borderId="0"/>
    <xf numFmtId="0" fontId="56" fillId="0" borderId="0"/>
    <xf numFmtId="0" fontId="56" fillId="0" borderId="0"/>
    <xf numFmtId="0" fontId="56" fillId="0" borderId="0"/>
    <xf numFmtId="0" fontId="5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4" fillId="0" borderId="0"/>
    <xf numFmtId="0" fontId="45" fillId="0" borderId="0"/>
    <xf numFmtId="0" fontId="45" fillId="0" borderId="0"/>
    <xf numFmtId="0" fontId="45" fillId="0" borderId="0"/>
    <xf numFmtId="0" fontId="54" fillId="0" borderId="0"/>
    <xf numFmtId="0" fontId="45" fillId="0" borderId="0"/>
    <xf numFmtId="0" fontId="45" fillId="0" borderId="0"/>
    <xf numFmtId="0" fontId="53" fillId="0" borderId="0"/>
    <xf numFmtId="0" fontId="45" fillId="0" borderId="0"/>
    <xf numFmtId="0" fontId="45" fillId="0" borderId="0"/>
    <xf numFmtId="0" fontId="54" fillId="0" borderId="0"/>
    <xf numFmtId="0" fontId="54" fillId="0" borderId="0"/>
    <xf numFmtId="0" fontId="103" fillId="0" borderId="0"/>
    <xf numFmtId="0" fontId="109" fillId="0" borderId="0"/>
    <xf numFmtId="0" fontId="78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78" fillId="0" borderId="0"/>
    <xf numFmtId="0" fontId="56" fillId="0" borderId="0"/>
    <xf numFmtId="0" fontId="78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78" fillId="0" borderId="0"/>
    <xf numFmtId="0" fontId="78" fillId="0" borderId="0"/>
    <xf numFmtId="0" fontId="78" fillId="0" borderId="0"/>
    <xf numFmtId="0" fontId="56" fillId="0" borderId="0"/>
    <xf numFmtId="0" fontId="56" fillId="0" borderId="0"/>
    <xf numFmtId="0" fontId="78" fillId="0" borderId="0"/>
    <xf numFmtId="0" fontId="56" fillId="0" borderId="0"/>
    <xf numFmtId="0" fontId="56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54" fillId="0" borderId="0"/>
    <xf numFmtId="0" fontId="45" fillId="0" borderId="0"/>
    <xf numFmtId="0" fontId="5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4" fillId="0" borderId="0"/>
    <xf numFmtId="0" fontId="45" fillId="0" borderId="0"/>
    <xf numFmtId="0" fontId="45" fillId="0" borderId="0"/>
    <xf numFmtId="0" fontId="54" fillId="0" borderId="0"/>
    <xf numFmtId="0" fontId="45" fillId="0" borderId="0"/>
    <xf numFmtId="0" fontId="45" fillId="0" borderId="0"/>
    <xf numFmtId="0" fontId="45" fillId="0" borderId="0"/>
    <xf numFmtId="0" fontId="54" fillId="0" borderId="0"/>
    <xf numFmtId="0" fontId="100" fillId="0" borderId="0"/>
    <xf numFmtId="0" fontId="45" fillId="0" borderId="0"/>
    <xf numFmtId="0" fontId="45" fillId="0" borderId="0"/>
    <xf numFmtId="0" fontId="45" fillId="0" borderId="0"/>
    <xf numFmtId="0" fontId="1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9" fillId="21" borderId="3" applyNumberFormat="0" applyAlignment="0" applyProtection="0"/>
    <xf numFmtId="0" fontId="69" fillId="21" borderId="3" applyNumberFormat="0" applyAlignment="0" applyProtection="0"/>
    <xf numFmtId="0" fontId="16" fillId="21" borderId="3" applyNumberFormat="0" applyAlignment="0" applyProtection="0"/>
    <xf numFmtId="0" fontId="46" fillId="21" borderId="3" applyNumberFormat="0" applyAlignment="0" applyProtection="0"/>
    <xf numFmtId="0" fontId="46" fillId="21" borderId="3" applyNumberFormat="0" applyAlignment="0" applyProtection="0"/>
    <xf numFmtId="0" fontId="46" fillId="21" borderId="3" applyNumberFormat="0" applyAlignment="0" applyProtection="0"/>
    <xf numFmtId="0" fontId="46" fillId="21" borderId="3" applyNumberFormat="0" applyAlignment="0" applyProtection="0"/>
    <xf numFmtId="0" fontId="46" fillId="21" borderId="3" applyNumberFormat="0" applyAlignment="0" applyProtection="0"/>
    <xf numFmtId="0" fontId="46" fillId="21" borderId="3" applyNumberFormat="0" applyAlignment="0" applyProtection="0"/>
    <xf numFmtId="0" fontId="4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9" fillId="21" borderId="3" applyNumberFormat="0" applyAlignment="0" applyProtection="0"/>
    <xf numFmtId="0" fontId="26" fillId="21" borderId="2" applyNumberFormat="0" applyAlignment="0" applyProtection="0"/>
    <xf numFmtId="0" fontId="26" fillId="21" borderId="2" applyNumberFormat="0" applyAlignment="0" applyProtection="0"/>
    <xf numFmtId="10" fontId="6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90" fillId="0" borderId="0" applyNumberFormat="0" applyFill="0" applyBorder="0" applyAlignment="0" applyProtection="0">
      <alignment horizontal="center"/>
    </xf>
    <xf numFmtId="4" fontId="91" fillId="25" borderId="14" applyNumberFormat="0" applyProtection="0">
      <alignment vertical="center"/>
    </xf>
    <xf numFmtId="4" fontId="92" fillId="28" borderId="14" applyNumberFormat="0" applyProtection="0">
      <alignment vertical="center"/>
    </xf>
    <xf numFmtId="4" fontId="91" fillId="28" borderId="14" applyNumberFormat="0" applyProtection="0">
      <alignment horizontal="left" vertical="center" indent="1"/>
    </xf>
    <xf numFmtId="0" fontId="91" fillId="28" borderId="14" applyNumberFormat="0" applyProtection="0">
      <alignment horizontal="left" vertical="top" indent="1"/>
    </xf>
    <xf numFmtId="4" fontId="91" fillId="29" borderId="0" applyNumberFormat="0" applyProtection="0">
      <alignment horizontal="left" vertical="center" indent="1"/>
    </xf>
    <xf numFmtId="4" fontId="93" fillId="3" borderId="14" applyNumberFormat="0" applyProtection="0">
      <alignment horizontal="right" vertical="center"/>
    </xf>
    <xf numFmtId="4" fontId="93" fillId="9" borderId="14" applyNumberFormat="0" applyProtection="0">
      <alignment horizontal="right" vertical="center"/>
    </xf>
    <xf numFmtId="4" fontId="93" fillId="17" borderId="14" applyNumberFormat="0" applyProtection="0">
      <alignment horizontal="right" vertical="center"/>
    </xf>
    <xf numFmtId="4" fontId="93" fillId="11" borderId="14" applyNumberFormat="0" applyProtection="0">
      <alignment horizontal="right" vertical="center"/>
    </xf>
    <xf numFmtId="4" fontId="93" fillId="15" borderId="14" applyNumberFormat="0" applyProtection="0">
      <alignment horizontal="right" vertical="center"/>
    </xf>
    <xf numFmtId="4" fontId="93" fillId="19" borderId="14" applyNumberFormat="0" applyProtection="0">
      <alignment horizontal="right" vertical="center"/>
    </xf>
    <xf numFmtId="4" fontId="93" fillId="18" borderId="14" applyNumberFormat="0" applyProtection="0">
      <alignment horizontal="right" vertical="center"/>
    </xf>
    <xf numFmtId="4" fontId="93" fillId="30" borderId="14" applyNumberFormat="0" applyProtection="0">
      <alignment horizontal="right" vertical="center"/>
    </xf>
    <xf numFmtId="4" fontId="93" fillId="10" borderId="14" applyNumberFormat="0" applyProtection="0">
      <alignment horizontal="right" vertical="center"/>
    </xf>
    <xf numFmtId="4" fontId="91" fillId="31" borderId="15" applyNumberFormat="0" applyProtection="0">
      <alignment horizontal="left" vertical="center" indent="1"/>
    </xf>
    <xf numFmtId="4" fontId="93" fillId="32" borderId="0" applyNumberFormat="0" applyProtection="0">
      <alignment horizontal="left" vertical="center" indent="1"/>
    </xf>
    <xf numFmtId="4" fontId="94" fillId="33" borderId="0" applyNumberFormat="0" applyProtection="0">
      <alignment horizontal="left" vertical="center" indent="1"/>
    </xf>
    <xf numFmtId="4" fontId="93" fillId="34" borderId="14" applyNumberFormat="0" applyProtection="0">
      <alignment horizontal="right" vertical="center"/>
    </xf>
    <xf numFmtId="4" fontId="93" fillId="32" borderId="0" applyNumberFormat="0" applyProtection="0">
      <alignment horizontal="left" vertical="center" indent="1"/>
    </xf>
    <xf numFmtId="4" fontId="93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3" fillId="24" borderId="14" applyNumberFormat="0" applyProtection="0">
      <alignment vertical="center"/>
    </xf>
    <xf numFmtId="4" fontId="95" fillId="24" borderId="14" applyNumberFormat="0" applyProtection="0">
      <alignment vertical="center"/>
    </xf>
    <xf numFmtId="4" fontId="93" fillId="24" borderId="14" applyNumberFormat="0" applyProtection="0">
      <alignment horizontal="left" vertical="center" indent="1"/>
    </xf>
    <xf numFmtId="0" fontId="93" fillId="24" borderId="14" applyNumberFormat="0" applyProtection="0">
      <alignment horizontal="left" vertical="top" indent="1"/>
    </xf>
    <xf numFmtId="4" fontId="93" fillId="32" borderId="14" applyNumberFormat="0" applyProtection="0">
      <alignment horizontal="right" vertical="center"/>
    </xf>
    <xf numFmtId="4" fontId="95" fillId="32" borderId="14" applyNumberFormat="0" applyProtection="0">
      <alignment horizontal="right" vertical="center"/>
    </xf>
    <xf numFmtId="4" fontId="93" fillId="34" borderId="14" applyNumberFormat="0" applyProtection="0">
      <alignment horizontal="left" vertical="center" indent="1"/>
    </xf>
    <xf numFmtId="0" fontId="93" fillId="29" borderId="14" applyNumberFormat="0" applyProtection="0">
      <alignment horizontal="left" vertical="top" indent="1"/>
    </xf>
    <xf numFmtId="4" fontId="96" fillId="36" borderId="0" applyNumberFormat="0" applyProtection="0">
      <alignment horizontal="left" vertical="center" indent="1"/>
    </xf>
    <xf numFmtId="4" fontId="57" fillId="32" borderId="14" applyNumberFormat="0" applyProtection="0">
      <alignment horizontal="right" vertical="center"/>
    </xf>
    <xf numFmtId="0" fontId="15" fillId="3" borderId="0" applyNumberFormat="0" applyBorder="0" applyAlignment="0" applyProtection="0"/>
    <xf numFmtId="0" fontId="75" fillId="26" borderId="10"/>
    <xf numFmtId="0" fontId="47" fillId="0" borderId="0"/>
    <xf numFmtId="0" fontId="6" fillId="0" borderId="0"/>
    <xf numFmtId="0" fontId="55" fillId="0" borderId="0"/>
    <xf numFmtId="0" fontId="103" fillId="0" borderId="0"/>
    <xf numFmtId="0" fontId="103" fillId="0" borderId="0"/>
    <xf numFmtId="0" fontId="55" fillId="0" borderId="0"/>
    <xf numFmtId="0" fontId="103" fillId="0" borderId="0"/>
    <xf numFmtId="0" fontId="103" fillId="0" borderId="0"/>
    <xf numFmtId="0" fontId="110" fillId="0" borderId="0"/>
    <xf numFmtId="0" fontId="110" fillId="0" borderId="0"/>
    <xf numFmtId="0" fontId="110" fillId="0" borderId="0"/>
    <xf numFmtId="0" fontId="103" fillId="0" borderId="0"/>
    <xf numFmtId="0" fontId="103" fillId="0" borderId="0"/>
    <xf numFmtId="0" fontId="103" fillId="0" borderId="0"/>
    <xf numFmtId="0" fontId="6" fillId="0" borderId="0"/>
    <xf numFmtId="0" fontId="6" fillId="0" borderId="0"/>
    <xf numFmtId="0" fontId="103" fillId="0" borderId="0"/>
    <xf numFmtId="0" fontId="103" fillId="0" borderId="0"/>
    <xf numFmtId="0" fontId="13" fillId="0" borderId="0"/>
    <xf numFmtId="0" fontId="103" fillId="0" borderId="0"/>
    <xf numFmtId="0" fontId="103" fillId="0" borderId="0"/>
    <xf numFmtId="0" fontId="13" fillId="0" borderId="0"/>
    <xf numFmtId="0" fontId="7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3" fillId="0" borderId="0"/>
    <xf numFmtId="0" fontId="103" fillId="0" borderId="0"/>
    <xf numFmtId="0" fontId="103" fillId="0" borderId="0"/>
    <xf numFmtId="0" fontId="13" fillId="0" borderId="0"/>
    <xf numFmtId="0" fontId="103" fillId="0" borderId="0"/>
    <xf numFmtId="0" fontId="13" fillId="0" borderId="0"/>
    <xf numFmtId="0" fontId="13" fillId="0" borderId="0"/>
    <xf numFmtId="0" fontId="103" fillId="0" borderId="0"/>
    <xf numFmtId="0" fontId="103" fillId="0" borderId="0"/>
    <xf numFmtId="0" fontId="13" fillId="0" borderId="0"/>
    <xf numFmtId="0" fontId="103" fillId="0" borderId="0"/>
    <xf numFmtId="0" fontId="103" fillId="0" borderId="0"/>
    <xf numFmtId="0" fontId="13" fillId="0" borderId="0"/>
    <xf numFmtId="0" fontId="103" fillId="0" borderId="0"/>
    <xf numFmtId="0" fontId="103" fillId="0" borderId="0"/>
    <xf numFmtId="0" fontId="13" fillId="0" borderId="0"/>
    <xf numFmtId="0" fontId="103" fillId="0" borderId="0"/>
    <xf numFmtId="0" fontId="13" fillId="0" borderId="0"/>
    <xf numFmtId="0" fontId="13" fillId="0" borderId="0"/>
    <xf numFmtId="0" fontId="7" fillId="0" borderId="0"/>
    <xf numFmtId="0" fontId="103" fillId="0" borderId="0"/>
    <xf numFmtId="0" fontId="7" fillId="0" borderId="0"/>
    <xf numFmtId="0" fontId="103" fillId="0" borderId="0"/>
    <xf numFmtId="0" fontId="103" fillId="0" borderId="0"/>
    <xf numFmtId="0" fontId="13" fillId="0" borderId="0"/>
    <xf numFmtId="0" fontId="103" fillId="0" borderId="0"/>
    <xf numFmtId="0" fontId="103" fillId="0" borderId="0"/>
    <xf numFmtId="0" fontId="13" fillId="0" borderId="0"/>
    <xf numFmtId="0" fontId="6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0" fontId="6" fillId="0" borderId="0" applyFill="0" applyBorder="0" applyAlignment="0" applyProtection="0">
      <alignment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6" fontId="6" fillId="0" borderId="0" applyFill="0" applyBorder="0" applyAlignment="0" applyProtection="0">
      <alignment wrapText="1"/>
    </xf>
    <xf numFmtId="0" fontId="9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70" fillId="0" borderId="5" applyNumberFormat="0" applyFill="0" applyAlignment="0" applyProtection="0"/>
    <xf numFmtId="0" fontId="70" fillId="0" borderId="5" applyNumberFormat="0" applyFill="0" applyAlignment="0" applyProtection="0"/>
    <xf numFmtId="0" fontId="28" fillId="0" borderId="5" applyNumberFormat="0" applyFill="0" applyAlignment="0" applyProtection="0"/>
    <xf numFmtId="0" fontId="48" fillId="0" borderId="5" applyNumberFormat="0" applyFill="0" applyAlignment="0" applyProtection="0"/>
    <xf numFmtId="0" fontId="48" fillId="0" borderId="5" applyNumberFormat="0" applyFill="0" applyAlignment="0" applyProtection="0"/>
    <xf numFmtId="0" fontId="48" fillId="0" borderId="5" applyNumberFormat="0" applyFill="0" applyAlignment="0" applyProtection="0"/>
    <xf numFmtId="0" fontId="48" fillId="0" borderId="5" applyNumberFormat="0" applyFill="0" applyAlignment="0" applyProtection="0"/>
    <xf numFmtId="0" fontId="48" fillId="0" borderId="5" applyNumberFormat="0" applyFill="0" applyAlignment="0" applyProtection="0"/>
    <xf numFmtId="0" fontId="48" fillId="0" borderId="5" applyNumberFormat="0" applyFill="0" applyAlignment="0" applyProtection="0"/>
    <xf numFmtId="0" fontId="48" fillId="0" borderId="5" applyNumberFormat="0" applyFill="0" applyAlignment="0" applyProtection="0"/>
    <xf numFmtId="0" fontId="28" fillId="0" borderId="5" applyNumberFormat="0" applyFill="0" applyAlignment="0" applyProtection="0"/>
    <xf numFmtId="0" fontId="28" fillId="0" borderId="5" applyNumberFormat="0" applyFill="0" applyAlignment="0" applyProtection="0"/>
    <xf numFmtId="0" fontId="70" fillId="0" borderId="5" applyNumberFormat="0" applyFill="0" applyAlignment="0" applyProtection="0"/>
    <xf numFmtId="0" fontId="70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28" fillId="0" borderId="5" applyNumberFormat="0" applyFill="0" applyAlignment="0" applyProtection="0"/>
    <xf numFmtId="0" fontId="87" fillId="0" borderId="0">
      <protection locked="0"/>
    </xf>
    <xf numFmtId="0" fontId="28" fillId="0" borderId="5" applyNumberFormat="0" applyFill="0" applyAlignment="0" applyProtection="0"/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7" fontId="7" fillId="28" borderId="0" applyNumberFormat="0" applyBorder="0" applyAlignment="0" applyProtection="0"/>
    <xf numFmtId="3" fontId="98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8" fillId="27" borderId="13" applyNumberFormat="0" applyFont="0" applyAlignment="0" applyProtection="0"/>
    <xf numFmtId="0" fontId="56" fillId="27" borderId="13" applyNumberFormat="0" applyFont="0" applyAlignment="0" applyProtection="0"/>
    <xf numFmtId="0" fontId="56" fillId="27" borderId="13" applyNumberFormat="0" applyFont="0" applyAlignment="0" applyProtection="0"/>
    <xf numFmtId="0" fontId="78" fillId="27" borderId="13" applyNumberFormat="0" applyFont="0" applyAlignment="0" applyProtection="0"/>
    <xf numFmtId="0" fontId="56" fillId="27" borderId="13" applyNumberFormat="0" applyFont="0" applyAlignment="0" applyProtection="0"/>
    <xf numFmtId="0" fontId="56" fillId="27" borderId="13" applyNumberFormat="0" applyFont="0" applyAlignment="0" applyProtection="0"/>
    <xf numFmtId="0" fontId="6" fillId="27" borderId="13" applyNumberFormat="0" applyFont="0" applyAlignment="0" applyProtection="0"/>
    <xf numFmtId="0" fontId="33" fillId="27" borderId="13" applyNumberFormat="0" applyFont="0" applyAlignment="0" applyProtection="0"/>
    <xf numFmtId="0" fontId="33" fillId="27" borderId="13" applyNumberFormat="0" applyFont="0" applyAlignment="0" applyProtection="0"/>
    <xf numFmtId="0" fontId="33" fillId="27" borderId="13" applyNumberFormat="0" applyFont="0" applyAlignment="0" applyProtection="0"/>
    <xf numFmtId="0" fontId="33" fillId="27" borderId="13" applyNumberFormat="0" applyFont="0" applyAlignment="0" applyProtection="0"/>
    <xf numFmtId="0" fontId="33" fillId="27" borderId="13" applyNumberFormat="0" applyFont="0" applyAlignment="0" applyProtection="0"/>
    <xf numFmtId="0" fontId="33" fillId="27" borderId="13" applyNumberFormat="0" applyFont="0" applyAlignment="0" applyProtection="0"/>
    <xf numFmtId="0" fontId="33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8" fillId="27" borderId="13" applyNumberFormat="0" applyFont="0" applyAlignment="0" applyProtection="0"/>
    <xf numFmtId="0" fontId="56" fillId="27" borderId="13" applyNumberFormat="0" applyFont="0" applyAlignment="0" applyProtection="0"/>
    <xf numFmtId="0" fontId="56" fillId="27" borderId="13" applyNumberFormat="0" applyFont="0" applyAlignment="0" applyProtection="0"/>
    <xf numFmtId="0" fontId="24" fillId="0" borderId="12" applyNumberFormat="0" applyFill="0" applyAlignment="0" applyProtection="0"/>
    <xf numFmtId="168" fontId="6" fillId="0" borderId="0" applyFont="0" applyFill="0" applyBorder="0" applyAlignment="0" applyProtection="0"/>
    <xf numFmtId="174" fontId="7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183" fontId="99" fillId="0" borderId="0">
      <alignment horizontal="right" vertical="center"/>
    </xf>
    <xf numFmtId="0" fontId="17" fillId="22" borderId="4" applyNumberFormat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73" fillId="3" borderId="0" applyNumberFormat="0" applyBorder="0" applyAlignment="0" applyProtection="0"/>
    <xf numFmtId="0" fontId="73" fillId="3" borderId="0" applyNumberFormat="0" applyBorder="0" applyAlignment="0" applyProtection="0"/>
    <xf numFmtId="0" fontId="15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73" fillId="3" borderId="0" applyNumberFormat="0" applyBorder="0" applyAlignment="0" applyProtection="0"/>
    <xf numFmtId="0" fontId="73" fillId="3" borderId="0" applyNumberFormat="0" applyBorder="0" applyAlignment="0" applyProtection="0"/>
    <xf numFmtId="4" fontId="75" fillId="0" borderId="0"/>
    <xf numFmtId="0" fontId="52" fillId="0" borderId="0" applyNumberFormat="0" applyFill="0" applyBorder="0" applyAlignment="0" applyProtection="0">
      <alignment vertical="center"/>
    </xf>
    <xf numFmtId="44" fontId="111" fillId="0" borderId="0" applyFont="0" applyFill="0" applyBorder="0" applyAlignment="0" applyProtection="0"/>
    <xf numFmtId="0" fontId="45" fillId="0" borderId="0"/>
    <xf numFmtId="0" fontId="116" fillId="0" borderId="0"/>
    <xf numFmtId="0" fontId="117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5" fillId="0" borderId="0"/>
    <xf numFmtId="0" fontId="45" fillId="0" borderId="0"/>
    <xf numFmtId="0" fontId="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19" fillId="0" borderId="0" applyNumberForma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5" fillId="0" borderId="0"/>
    <xf numFmtId="0" fontId="45" fillId="0" borderId="0"/>
    <xf numFmtId="0" fontId="56" fillId="0" borderId="0"/>
    <xf numFmtId="0" fontId="56" fillId="0" borderId="0"/>
    <xf numFmtId="0" fontId="56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120" fillId="0" borderId="0"/>
    <xf numFmtId="0" fontId="121" fillId="0" borderId="0"/>
    <xf numFmtId="0" fontId="45" fillId="0" borderId="0"/>
    <xf numFmtId="0" fontId="6" fillId="0" borderId="0"/>
    <xf numFmtId="0" fontId="122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43" fontId="45" fillId="0" borderId="0" applyFont="0" applyFill="0" applyBorder="0" applyAlignment="0" applyProtection="0"/>
    <xf numFmtId="0" fontId="103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3" fillId="0" borderId="0"/>
    <xf numFmtId="0" fontId="103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43" fontId="45" fillId="0" borderId="0" applyFont="0" applyFill="0" applyBorder="0" applyAlignment="0" applyProtection="0"/>
    <xf numFmtId="0" fontId="103" fillId="0" borderId="0"/>
  </cellStyleXfs>
  <cellXfs count="65">
    <xf numFmtId="0" fontId="0" fillId="0" borderId="0" xfId="0"/>
    <xf numFmtId="0" fontId="45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11" fillId="0" borderId="0" xfId="0" applyFont="1"/>
    <xf numFmtId="0" fontId="30" fillId="0" borderId="0" xfId="796" applyFont="1"/>
    <xf numFmtId="0" fontId="6" fillId="0" borderId="0" xfId="800"/>
    <xf numFmtId="0" fontId="8" fillId="0" borderId="0" xfId="800" applyFont="1" applyAlignment="1">
      <alignment horizontal="left"/>
    </xf>
    <xf numFmtId="0" fontId="4" fillId="28" borderId="19" xfId="80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/>
    </xf>
    <xf numFmtId="0" fontId="7" fillId="0" borderId="0" xfId="0" applyFont="1"/>
    <xf numFmtId="184" fontId="5" fillId="40" borderId="0" xfId="0" applyNumberFormat="1" applyFont="1" applyFill="1"/>
    <xf numFmtId="184" fontId="9" fillId="40" borderId="0" xfId="0" applyNumberFormat="1" applyFont="1" applyFill="1"/>
    <xf numFmtId="184" fontId="6" fillId="0" borderId="0" xfId="0" applyNumberFormat="1" applyFont="1"/>
    <xf numFmtId="184" fontId="8" fillId="0" borderId="0" xfId="0" applyNumberFormat="1" applyFont="1"/>
    <xf numFmtId="184" fontId="0" fillId="0" borderId="0" xfId="0" applyNumberFormat="1"/>
    <xf numFmtId="0" fontId="6" fillId="43" borderId="0" xfId="0" applyFont="1" applyFill="1"/>
    <xf numFmtId="184" fontId="0" fillId="43" borderId="0" xfId="0" applyNumberFormat="1" applyFill="1"/>
    <xf numFmtId="0" fontId="45" fillId="43" borderId="0" xfId="0" applyFont="1" applyFill="1" applyAlignment="1">
      <alignment horizontal="left"/>
    </xf>
    <xf numFmtId="184" fontId="45" fillId="43" borderId="0" xfId="0" applyNumberFormat="1" applyFont="1" applyFill="1"/>
    <xf numFmtId="0" fontId="6" fillId="39" borderId="18" xfId="791" applyFill="1" applyBorder="1" applyAlignment="1">
      <alignment horizontal="center" vertical="center" wrapText="1"/>
    </xf>
    <xf numFmtId="0" fontId="45" fillId="0" borderId="0" xfId="0" applyFont="1" applyAlignment="1" applyProtection="1">
      <alignment vertical="top"/>
      <protection locked="0"/>
    </xf>
    <xf numFmtId="0" fontId="30" fillId="0" borderId="0" xfId="1243" applyNumberFormat="1" applyFont="1"/>
    <xf numFmtId="184" fontId="4" fillId="28" borderId="20" xfId="0" applyNumberFormat="1" applyFont="1" applyFill="1" applyBorder="1" applyAlignment="1">
      <alignment horizontal="center" vertical="center"/>
    </xf>
    <xf numFmtId="184" fontId="6" fillId="39" borderId="21" xfId="791" applyNumberFormat="1" applyFill="1" applyBorder="1" applyAlignment="1">
      <alignment horizontal="center" vertical="center" wrapText="1"/>
    </xf>
    <xf numFmtId="184" fontId="6" fillId="39" borderId="18" xfId="791" applyNumberFormat="1" applyFill="1" applyBorder="1" applyAlignment="1">
      <alignment horizontal="center" vertical="center" wrapText="1"/>
    </xf>
    <xf numFmtId="184" fontId="4" fillId="28" borderId="19" xfId="0" applyNumberFormat="1" applyFont="1" applyFill="1" applyBorder="1" applyAlignment="1">
      <alignment horizontal="center" vertical="center"/>
    </xf>
    <xf numFmtId="0" fontId="4" fillId="28" borderId="19" xfId="800" applyFont="1" applyFill="1" applyBorder="1" applyAlignment="1">
      <alignment horizontal="center" vertical="center"/>
    </xf>
    <xf numFmtId="0" fontId="4" fillId="28" borderId="19" xfId="791" applyFont="1" applyFill="1" applyBorder="1" applyAlignment="1">
      <alignment horizontal="center" vertical="center"/>
    </xf>
    <xf numFmtId="0" fontId="112" fillId="40" borderId="0" xfId="1244" quotePrefix="1" applyFont="1" applyFill="1" applyAlignment="1">
      <alignment horizontal="left"/>
    </xf>
    <xf numFmtId="0" fontId="45" fillId="0" borderId="0" xfId="1244"/>
    <xf numFmtId="0" fontId="113" fillId="0" borderId="0" xfId="1244" applyFont="1"/>
    <xf numFmtId="0" fontId="114" fillId="0" borderId="22" xfId="1244" applyFont="1" applyBorder="1" applyAlignment="1">
      <alignment horizontal="left" vertical="center" wrapText="1"/>
    </xf>
    <xf numFmtId="0" fontId="114" fillId="0" borderId="23" xfId="1244" applyFont="1" applyBorder="1" applyAlignment="1">
      <alignment horizontal="center" vertical="center" wrapText="1"/>
    </xf>
    <xf numFmtId="0" fontId="114" fillId="0" borderId="24" xfId="1244" applyFont="1" applyBorder="1" applyAlignment="1">
      <alignment horizontal="center" vertical="center" wrapText="1"/>
    </xf>
    <xf numFmtId="0" fontId="114" fillId="0" borderId="25" xfId="1244" applyFont="1" applyBorder="1" applyAlignment="1">
      <alignment horizontal="left" vertical="center" wrapText="1"/>
    </xf>
    <xf numFmtId="0" fontId="113" fillId="0" borderId="10" xfId="1244" applyFont="1" applyBorder="1" applyAlignment="1">
      <alignment horizontal="center"/>
    </xf>
    <xf numFmtId="0" fontId="113" fillId="0" borderId="26" xfId="1244" applyFont="1" applyBorder="1" applyAlignment="1">
      <alignment horizontal="center"/>
    </xf>
    <xf numFmtId="0" fontId="114" fillId="0" borderId="25" xfId="1245" applyFont="1" applyBorder="1" applyAlignment="1">
      <alignment horizontal="left" vertical="center"/>
    </xf>
    <xf numFmtId="185" fontId="113" fillId="0" borderId="10" xfId="1246" applyNumberFormat="1" applyFont="1" applyBorder="1" applyAlignment="1">
      <alignment horizontal="center" vertical="center"/>
    </xf>
    <xf numFmtId="185" fontId="113" fillId="0" borderId="26" xfId="1246" applyNumberFormat="1" applyFont="1" applyBorder="1" applyAlignment="1">
      <alignment horizontal="center" vertical="center"/>
    </xf>
    <xf numFmtId="186" fontId="113" fillId="0" borderId="10" xfId="1246" applyNumberFormat="1" applyFont="1" applyBorder="1" applyAlignment="1">
      <alignment horizontal="center" vertical="center"/>
    </xf>
    <xf numFmtId="0" fontId="114" fillId="0" borderId="27" xfId="1244" applyFont="1" applyBorder="1" applyAlignment="1">
      <alignment horizontal="left"/>
    </xf>
    <xf numFmtId="185" fontId="113" fillId="0" borderId="11" xfId="1246" applyNumberFormat="1" applyFont="1" applyBorder="1" applyAlignment="1">
      <alignment horizontal="center" vertical="center"/>
    </xf>
    <xf numFmtId="185" fontId="114" fillId="0" borderId="11" xfId="1246" applyNumberFormat="1" applyFont="1" applyBorder="1" applyAlignment="1">
      <alignment horizontal="center" vertical="center"/>
    </xf>
    <xf numFmtId="185" fontId="113" fillId="0" borderId="28" xfId="1246" applyNumberFormat="1" applyFont="1" applyBorder="1" applyAlignment="1">
      <alignment horizontal="center" vertical="center"/>
    </xf>
    <xf numFmtId="0" fontId="114" fillId="0" borderId="22" xfId="1244" applyFont="1" applyBorder="1" applyAlignment="1">
      <alignment horizontal="center" vertical="center"/>
    </xf>
    <xf numFmtId="0" fontId="114" fillId="0" borderId="24" xfId="1244" applyFont="1" applyBorder="1" applyAlignment="1">
      <alignment horizontal="center" vertical="center"/>
    </xf>
    <xf numFmtId="0" fontId="113" fillId="0" borderId="25" xfId="1244" applyFont="1" applyBorder="1"/>
    <xf numFmtId="187" fontId="113" fillId="0" borderId="26" xfId="1244" applyNumberFormat="1" applyFont="1" applyBorder="1" applyAlignment="1">
      <alignment horizontal="center" vertical="center"/>
    </xf>
    <xf numFmtId="0" fontId="113" fillId="0" borderId="27" xfId="1244" applyFont="1" applyBorder="1"/>
    <xf numFmtId="0" fontId="113" fillId="0" borderId="11" xfId="1244" applyFont="1" applyBorder="1" applyAlignment="1">
      <alignment horizontal="center"/>
    </xf>
    <xf numFmtId="187" fontId="113" fillId="0" borderId="28" xfId="1244" applyNumberFormat="1" applyFont="1" applyBorder="1" applyAlignment="1">
      <alignment horizontal="center" vertical="center"/>
    </xf>
    <xf numFmtId="0" fontId="113" fillId="0" borderId="0" xfId="1244" applyFont="1" applyAlignment="1">
      <alignment horizontal="center" vertical="center"/>
    </xf>
    <xf numFmtId="0" fontId="114" fillId="0" borderId="23" xfId="1244" applyFont="1" applyBorder="1" applyAlignment="1">
      <alignment horizontal="center" vertical="center"/>
    </xf>
    <xf numFmtId="187" fontId="6" fillId="43" borderId="0" xfId="0" applyNumberFormat="1" applyFont="1" applyFill="1"/>
    <xf numFmtId="187" fontId="0" fillId="0" borderId="0" xfId="0" applyNumberFormat="1"/>
    <xf numFmtId="187" fontId="101" fillId="43" borderId="0" xfId="0" applyNumberFormat="1" applyFont="1" applyFill="1" applyAlignment="1">
      <alignment horizontal="right"/>
    </xf>
    <xf numFmtId="0" fontId="6" fillId="39" borderId="21" xfId="791" applyFill="1" applyBorder="1" applyAlignment="1">
      <alignment horizontal="center" vertical="center" wrapText="1"/>
    </xf>
    <xf numFmtId="0" fontId="114" fillId="0" borderId="25" xfId="0" applyFont="1" applyBorder="1" applyAlignment="1">
      <alignment horizontal="left"/>
    </xf>
    <xf numFmtId="0" fontId="56" fillId="0" borderId="0" xfId="0" applyFont="1"/>
    <xf numFmtId="0" fontId="113" fillId="0" borderId="0" xfId="0" applyFont="1"/>
    <xf numFmtId="184" fontId="5" fillId="40" borderId="0" xfId="0" quotePrefix="1" applyNumberFormat="1" applyFont="1" applyFill="1"/>
    <xf numFmtId="188" fontId="0" fillId="0" borderId="0" xfId="0" applyNumberFormat="1"/>
    <xf numFmtId="0" fontId="6" fillId="39" borderId="18" xfId="791" applyFill="1" applyBorder="1" applyAlignment="1">
      <alignment horizontal="center" vertical="center" wrapText="1"/>
    </xf>
  </cellXfs>
  <cellStyles count="1658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 10" xfId="379" xr:uid="{00000000-0005-0000-0000-00007A010000}"/>
    <cellStyle name="Akcent 1 10 2" xfId="380" xr:uid="{00000000-0005-0000-0000-00007B010000}"/>
    <cellStyle name="Akcent 1 10 3" xfId="381" xr:uid="{00000000-0005-0000-0000-00007C010000}"/>
    <cellStyle name="Akcent 1 11" xfId="382" xr:uid="{00000000-0005-0000-0000-00007D010000}"/>
    <cellStyle name="Akcent 1 12" xfId="383" xr:uid="{00000000-0005-0000-0000-00007E010000}"/>
    <cellStyle name="Akcent 1 2" xfId="384" xr:uid="{00000000-0005-0000-0000-00007F010000}"/>
    <cellStyle name="Akcent 1 3" xfId="385" xr:uid="{00000000-0005-0000-0000-000080010000}"/>
    <cellStyle name="Akcent 1 4" xfId="386" xr:uid="{00000000-0005-0000-0000-000081010000}"/>
    <cellStyle name="Akcent 1 5" xfId="387" xr:uid="{00000000-0005-0000-0000-000082010000}"/>
    <cellStyle name="Akcent 1 6" xfId="388" xr:uid="{00000000-0005-0000-0000-000083010000}"/>
    <cellStyle name="Akcent 1 7" xfId="389" xr:uid="{00000000-0005-0000-0000-000084010000}"/>
    <cellStyle name="Akcent 1 8" xfId="390" xr:uid="{00000000-0005-0000-0000-000085010000}"/>
    <cellStyle name="Akcent 1 9" xfId="391" xr:uid="{00000000-0005-0000-0000-000086010000}"/>
    <cellStyle name="Akcent 1 9 2" xfId="392" xr:uid="{00000000-0005-0000-0000-000087010000}"/>
    <cellStyle name="Akcent 1 9 3" xfId="393" xr:uid="{00000000-0005-0000-0000-000088010000}"/>
    <cellStyle name="Akcent 2 10" xfId="394" xr:uid="{00000000-0005-0000-0000-000089010000}"/>
    <cellStyle name="Akcent 2 10 2" xfId="395" xr:uid="{00000000-0005-0000-0000-00008A010000}"/>
    <cellStyle name="Akcent 2 10 3" xfId="396" xr:uid="{00000000-0005-0000-0000-00008B010000}"/>
    <cellStyle name="Akcent 2 11" xfId="397" xr:uid="{00000000-0005-0000-0000-00008C010000}"/>
    <cellStyle name="Akcent 2 12" xfId="398" xr:uid="{00000000-0005-0000-0000-00008D010000}"/>
    <cellStyle name="Akcent 2 2" xfId="399" xr:uid="{00000000-0005-0000-0000-00008E010000}"/>
    <cellStyle name="Akcent 2 3" xfId="400" xr:uid="{00000000-0005-0000-0000-00008F010000}"/>
    <cellStyle name="Akcent 2 4" xfId="401" xr:uid="{00000000-0005-0000-0000-000090010000}"/>
    <cellStyle name="Akcent 2 5" xfId="402" xr:uid="{00000000-0005-0000-0000-000091010000}"/>
    <cellStyle name="Akcent 2 6" xfId="403" xr:uid="{00000000-0005-0000-0000-000092010000}"/>
    <cellStyle name="Akcent 2 7" xfId="404" xr:uid="{00000000-0005-0000-0000-000093010000}"/>
    <cellStyle name="Akcent 2 8" xfId="405" xr:uid="{00000000-0005-0000-0000-000094010000}"/>
    <cellStyle name="Akcent 2 9" xfId="406" xr:uid="{00000000-0005-0000-0000-000095010000}"/>
    <cellStyle name="Akcent 2 9 2" xfId="407" xr:uid="{00000000-0005-0000-0000-000096010000}"/>
    <cellStyle name="Akcent 2 9 3" xfId="408" xr:uid="{00000000-0005-0000-0000-000097010000}"/>
    <cellStyle name="Akcent 3 10" xfId="409" xr:uid="{00000000-0005-0000-0000-000098010000}"/>
    <cellStyle name="Akcent 3 10 2" xfId="410" xr:uid="{00000000-0005-0000-0000-000099010000}"/>
    <cellStyle name="Akcent 3 10 3" xfId="411" xr:uid="{00000000-0005-0000-0000-00009A010000}"/>
    <cellStyle name="Akcent 3 11" xfId="412" xr:uid="{00000000-0005-0000-0000-00009B010000}"/>
    <cellStyle name="Akcent 3 12" xfId="413" xr:uid="{00000000-0005-0000-0000-00009C010000}"/>
    <cellStyle name="Akcent 3 2" xfId="414" xr:uid="{00000000-0005-0000-0000-00009D010000}"/>
    <cellStyle name="Akcent 3 3" xfId="415" xr:uid="{00000000-0005-0000-0000-00009E010000}"/>
    <cellStyle name="Akcent 3 4" xfId="416" xr:uid="{00000000-0005-0000-0000-00009F010000}"/>
    <cellStyle name="Akcent 3 5" xfId="417" xr:uid="{00000000-0005-0000-0000-0000A0010000}"/>
    <cellStyle name="Akcent 3 6" xfId="418" xr:uid="{00000000-0005-0000-0000-0000A1010000}"/>
    <cellStyle name="Akcent 3 7" xfId="419" xr:uid="{00000000-0005-0000-0000-0000A2010000}"/>
    <cellStyle name="Akcent 3 8" xfId="420" xr:uid="{00000000-0005-0000-0000-0000A3010000}"/>
    <cellStyle name="Akcent 3 9" xfId="421" xr:uid="{00000000-0005-0000-0000-0000A4010000}"/>
    <cellStyle name="Akcent 3 9 2" xfId="422" xr:uid="{00000000-0005-0000-0000-0000A5010000}"/>
    <cellStyle name="Akcent 3 9 3" xfId="423" xr:uid="{00000000-0005-0000-0000-0000A6010000}"/>
    <cellStyle name="Akcent 4 10" xfId="424" xr:uid="{00000000-0005-0000-0000-0000A7010000}"/>
    <cellStyle name="Akcent 4 10 2" xfId="425" xr:uid="{00000000-0005-0000-0000-0000A8010000}"/>
    <cellStyle name="Akcent 4 10 3" xfId="426" xr:uid="{00000000-0005-0000-0000-0000A9010000}"/>
    <cellStyle name="Akcent 4 11" xfId="427" xr:uid="{00000000-0005-0000-0000-0000AA010000}"/>
    <cellStyle name="Akcent 4 12" xfId="428" xr:uid="{00000000-0005-0000-0000-0000AB010000}"/>
    <cellStyle name="Akcent 4 2" xfId="429" xr:uid="{00000000-0005-0000-0000-0000AC010000}"/>
    <cellStyle name="Akcent 4 3" xfId="430" xr:uid="{00000000-0005-0000-0000-0000AD010000}"/>
    <cellStyle name="Akcent 4 4" xfId="431" xr:uid="{00000000-0005-0000-0000-0000AE010000}"/>
    <cellStyle name="Akcent 4 5" xfId="432" xr:uid="{00000000-0005-0000-0000-0000AF010000}"/>
    <cellStyle name="Akcent 4 6" xfId="433" xr:uid="{00000000-0005-0000-0000-0000B0010000}"/>
    <cellStyle name="Akcent 4 7" xfId="434" xr:uid="{00000000-0005-0000-0000-0000B1010000}"/>
    <cellStyle name="Akcent 4 8" xfId="435" xr:uid="{00000000-0005-0000-0000-0000B2010000}"/>
    <cellStyle name="Akcent 4 9" xfId="436" xr:uid="{00000000-0005-0000-0000-0000B3010000}"/>
    <cellStyle name="Akcent 4 9 2" xfId="437" xr:uid="{00000000-0005-0000-0000-0000B4010000}"/>
    <cellStyle name="Akcent 4 9 3" xfId="438" xr:uid="{00000000-0005-0000-0000-0000B5010000}"/>
    <cellStyle name="Akcent 5 10" xfId="439" xr:uid="{00000000-0005-0000-0000-0000B6010000}"/>
    <cellStyle name="Akcent 5 10 2" xfId="440" xr:uid="{00000000-0005-0000-0000-0000B7010000}"/>
    <cellStyle name="Akcent 5 10 3" xfId="441" xr:uid="{00000000-0005-0000-0000-0000B8010000}"/>
    <cellStyle name="Akcent 5 11" xfId="442" xr:uid="{00000000-0005-0000-0000-0000B9010000}"/>
    <cellStyle name="Akcent 5 12" xfId="443" xr:uid="{00000000-0005-0000-0000-0000BA010000}"/>
    <cellStyle name="Akcent 5 2" xfId="444" xr:uid="{00000000-0005-0000-0000-0000BB010000}"/>
    <cellStyle name="Akcent 5 3" xfId="445" xr:uid="{00000000-0005-0000-0000-0000BC010000}"/>
    <cellStyle name="Akcent 5 4" xfId="446" xr:uid="{00000000-0005-0000-0000-0000BD010000}"/>
    <cellStyle name="Akcent 5 5" xfId="447" xr:uid="{00000000-0005-0000-0000-0000BE010000}"/>
    <cellStyle name="Akcent 5 6" xfId="448" xr:uid="{00000000-0005-0000-0000-0000BF010000}"/>
    <cellStyle name="Akcent 5 7" xfId="449" xr:uid="{00000000-0005-0000-0000-0000C0010000}"/>
    <cellStyle name="Akcent 5 8" xfId="450" xr:uid="{00000000-0005-0000-0000-0000C1010000}"/>
    <cellStyle name="Akcent 5 9" xfId="451" xr:uid="{00000000-0005-0000-0000-0000C2010000}"/>
    <cellStyle name="Akcent 5 9 2" xfId="452" xr:uid="{00000000-0005-0000-0000-0000C3010000}"/>
    <cellStyle name="Akcent 5 9 3" xfId="453" xr:uid="{00000000-0005-0000-0000-0000C4010000}"/>
    <cellStyle name="Akcent 6 10" xfId="454" xr:uid="{00000000-0005-0000-0000-0000C5010000}"/>
    <cellStyle name="Akcent 6 10 2" xfId="455" xr:uid="{00000000-0005-0000-0000-0000C6010000}"/>
    <cellStyle name="Akcent 6 10 3" xfId="456" xr:uid="{00000000-0005-0000-0000-0000C7010000}"/>
    <cellStyle name="Akcent 6 11" xfId="457" xr:uid="{00000000-0005-0000-0000-0000C8010000}"/>
    <cellStyle name="Akcent 6 12" xfId="458" xr:uid="{00000000-0005-0000-0000-0000C9010000}"/>
    <cellStyle name="Akcent 6 2" xfId="459" xr:uid="{00000000-0005-0000-0000-0000CA010000}"/>
    <cellStyle name="Akcent 6 3" xfId="460" xr:uid="{00000000-0005-0000-0000-0000CB010000}"/>
    <cellStyle name="Akcent 6 4" xfId="461" xr:uid="{00000000-0005-0000-0000-0000CC010000}"/>
    <cellStyle name="Akcent 6 5" xfId="462" xr:uid="{00000000-0005-0000-0000-0000CD010000}"/>
    <cellStyle name="Akcent 6 6" xfId="463" xr:uid="{00000000-0005-0000-0000-0000CE010000}"/>
    <cellStyle name="Akcent 6 7" xfId="464" xr:uid="{00000000-0005-0000-0000-0000CF010000}"/>
    <cellStyle name="Akcent 6 8" xfId="465" xr:uid="{00000000-0005-0000-0000-0000D0010000}"/>
    <cellStyle name="Akcent 6 9" xfId="466" xr:uid="{00000000-0005-0000-0000-0000D1010000}"/>
    <cellStyle name="Akcent 6 9 2" xfId="467" xr:uid="{00000000-0005-0000-0000-0000D2010000}"/>
    <cellStyle name="Akcent 6 9 3" xfId="468" xr:uid="{00000000-0005-0000-0000-0000D3010000}"/>
    <cellStyle name="Akzent1 2" xfId="469" xr:uid="{00000000-0005-0000-0000-0000D4010000}"/>
    <cellStyle name="Akzent2 2" xfId="470" xr:uid="{00000000-0005-0000-0000-0000D5010000}"/>
    <cellStyle name="Akzent3 2" xfId="471" xr:uid="{00000000-0005-0000-0000-0000D6010000}"/>
    <cellStyle name="Akzent4 2" xfId="472" xr:uid="{00000000-0005-0000-0000-0000D7010000}"/>
    <cellStyle name="Akzent5 2" xfId="473" xr:uid="{00000000-0005-0000-0000-0000D8010000}"/>
    <cellStyle name="Akzent6 2" xfId="474" xr:uid="{00000000-0005-0000-0000-0000D9010000}"/>
    <cellStyle name="Ausgabe 2" xfId="475" xr:uid="{00000000-0005-0000-0000-0000DA010000}"/>
    <cellStyle name="Bad 2" xfId="476" xr:uid="{00000000-0005-0000-0000-0000DB010000}"/>
    <cellStyle name="Bad 3" xfId="477" xr:uid="{00000000-0005-0000-0000-0000DC010000}"/>
    <cellStyle name="Berechnung 2" xfId="478" xr:uid="{00000000-0005-0000-0000-0000DD010000}"/>
    <cellStyle name="Calculation 2" xfId="479" xr:uid="{00000000-0005-0000-0000-0000DE010000}"/>
    <cellStyle name="Calculation 3" xfId="480" xr:uid="{00000000-0005-0000-0000-0000DF010000}"/>
    <cellStyle name="Check Cell 2" xfId="481" xr:uid="{00000000-0005-0000-0000-0000E0010000}"/>
    <cellStyle name="Check Cell 3" xfId="482" xr:uid="{00000000-0005-0000-0000-0000E1010000}"/>
    <cellStyle name="ColLevel_" xfId="483" xr:uid="{00000000-0005-0000-0000-0000E2010000}"/>
    <cellStyle name="Comma 2" xfId="1656" xr:uid="{23720A15-4131-417C-B9C7-E401D27A0424}"/>
    <cellStyle name="Comma 3" xfId="1364" xr:uid="{BB768079-A616-44AD-AADC-2CE4F34AEDD1}"/>
    <cellStyle name="Comma0" xfId="484" xr:uid="{00000000-0005-0000-0000-0000E3010000}"/>
    <cellStyle name="Comma0 - Style1" xfId="485" xr:uid="{00000000-0005-0000-0000-0000E4010000}"/>
    <cellStyle name="Comma0 - Style2" xfId="486" xr:uid="{00000000-0005-0000-0000-0000E5010000}"/>
    <cellStyle name="Comma0_Input" xfId="487" xr:uid="{00000000-0005-0000-0000-0000E6010000}"/>
    <cellStyle name="Currency" xfId="1243" builtinId="4"/>
    <cellStyle name="Currency0" xfId="488" xr:uid="{00000000-0005-0000-0000-0000E7010000}"/>
    <cellStyle name="Dane wejściowe" xfId="489" xr:uid="{00000000-0005-0000-0000-0000E8010000}"/>
    <cellStyle name="Dane wejściowe 10" xfId="490" xr:uid="{00000000-0005-0000-0000-0000E9010000}"/>
    <cellStyle name="Dane wejściowe 10 2" xfId="491" xr:uid="{00000000-0005-0000-0000-0000EA010000}"/>
    <cellStyle name="Dane wejściowe 10 3" xfId="492" xr:uid="{00000000-0005-0000-0000-0000EB010000}"/>
    <cellStyle name="Dane wejściowe 11" xfId="493" xr:uid="{00000000-0005-0000-0000-0000EC010000}"/>
    <cellStyle name="Dane wejściowe 12" xfId="494" xr:uid="{00000000-0005-0000-0000-0000ED010000}"/>
    <cellStyle name="Dane wejściowe 2" xfId="495" xr:uid="{00000000-0005-0000-0000-0000EE010000}"/>
    <cellStyle name="Dane wejściowe 3" xfId="496" xr:uid="{00000000-0005-0000-0000-0000EF010000}"/>
    <cellStyle name="Dane wejściowe 4" xfId="497" xr:uid="{00000000-0005-0000-0000-0000F0010000}"/>
    <cellStyle name="Dane wejściowe 5" xfId="498" xr:uid="{00000000-0005-0000-0000-0000F1010000}"/>
    <cellStyle name="Dane wejściowe 6" xfId="499" xr:uid="{00000000-0005-0000-0000-0000F2010000}"/>
    <cellStyle name="Dane wejściowe 7" xfId="500" xr:uid="{00000000-0005-0000-0000-0000F3010000}"/>
    <cellStyle name="Dane wejściowe 8" xfId="501" xr:uid="{00000000-0005-0000-0000-0000F4010000}"/>
    <cellStyle name="Dane wejściowe 9" xfId="502" xr:uid="{00000000-0005-0000-0000-0000F5010000}"/>
    <cellStyle name="Dane wejściowe 9 2" xfId="503" xr:uid="{00000000-0005-0000-0000-0000F6010000}"/>
    <cellStyle name="Dane wejściowe 9 3" xfId="504" xr:uid="{00000000-0005-0000-0000-0000F7010000}"/>
    <cellStyle name="Dane wejściowe_D_HEAT" xfId="505" xr:uid="{00000000-0005-0000-0000-0000F8010000}"/>
    <cellStyle name="Dane wyjściowe" xfId="506" xr:uid="{00000000-0005-0000-0000-0000F9010000}"/>
    <cellStyle name="Dane wyjściowe 10" xfId="507" xr:uid="{00000000-0005-0000-0000-0000FA010000}"/>
    <cellStyle name="Dane wyjściowe 10 2" xfId="508" xr:uid="{00000000-0005-0000-0000-0000FB010000}"/>
    <cellStyle name="Dane wyjściowe 10 3" xfId="509" xr:uid="{00000000-0005-0000-0000-0000FC010000}"/>
    <cellStyle name="Dane wyjściowe 11" xfId="510" xr:uid="{00000000-0005-0000-0000-0000FD010000}"/>
    <cellStyle name="Dane wyjściowe 12" xfId="511" xr:uid="{00000000-0005-0000-0000-0000FE010000}"/>
    <cellStyle name="Dane wyjściowe 2" xfId="512" xr:uid="{00000000-0005-0000-0000-0000FF010000}"/>
    <cellStyle name="Dane wyjściowe 3" xfId="513" xr:uid="{00000000-0005-0000-0000-000000020000}"/>
    <cellStyle name="Dane wyjściowe 4" xfId="514" xr:uid="{00000000-0005-0000-0000-000001020000}"/>
    <cellStyle name="Dane wyjściowe 5" xfId="515" xr:uid="{00000000-0005-0000-0000-000002020000}"/>
    <cellStyle name="Dane wyjściowe 6" xfId="516" xr:uid="{00000000-0005-0000-0000-000003020000}"/>
    <cellStyle name="Dane wyjściowe 7" xfId="517" xr:uid="{00000000-0005-0000-0000-000004020000}"/>
    <cellStyle name="Dane wyjściowe 8" xfId="518" xr:uid="{00000000-0005-0000-0000-000005020000}"/>
    <cellStyle name="Dane wyjściowe 9" xfId="519" xr:uid="{00000000-0005-0000-0000-000006020000}"/>
    <cellStyle name="Dane wyjściowe 9 2" xfId="520" xr:uid="{00000000-0005-0000-0000-000007020000}"/>
    <cellStyle name="Dane wyjściowe 9 3" xfId="521" xr:uid="{00000000-0005-0000-0000-000008020000}"/>
    <cellStyle name="Dane wyjściowe_D_HEAT" xfId="522" xr:uid="{00000000-0005-0000-0000-000009020000}"/>
    <cellStyle name="Date" xfId="523" xr:uid="{00000000-0005-0000-0000-00000A020000}"/>
    <cellStyle name="DateTime" xfId="524" xr:uid="{00000000-0005-0000-0000-00000B020000}"/>
    <cellStyle name="Dezimal [0] 2" xfId="525" xr:uid="{00000000-0005-0000-0000-00000C020000}"/>
    <cellStyle name="Dezimal [0] 2 2" xfId="526" xr:uid="{00000000-0005-0000-0000-00000D020000}"/>
    <cellStyle name="Dezimal [0] 2 3" xfId="1301" xr:uid="{B59D5A5F-61C0-40B3-BD32-2A5427C39E9D}"/>
    <cellStyle name="Dezimal [0] 2 3 2" xfId="1361" xr:uid="{3EAD1274-3AF0-483B-8E3A-7BD6AEB4C7A3}"/>
    <cellStyle name="Dezimal [0] 2 3 2 2" xfId="1653" xr:uid="{4CBC0B55-CF6B-419F-BC8D-6577DF2B1010}"/>
    <cellStyle name="Dezimal [0] 2 3 2 3" xfId="1564" xr:uid="{6315D381-B963-485E-8A40-7099AAFD696A}"/>
    <cellStyle name="Dezimal [0] 2 3 3" xfId="1513" xr:uid="{7CF443D8-A919-4D0F-B7E7-8345EB1D1DF0}"/>
    <cellStyle name="Dezimal [0] 2 3 4" xfId="1609" xr:uid="{E7FE2B00-BC1A-442A-93FB-16E84A085553}"/>
    <cellStyle name="Dezimal [0] 2 3 5" xfId="1412" xr:uid="{7889F03A-8E7F-471B-88C0-4D1CBD94E3FC}"/>
    <cellStyle name="Dezimal [0] 2 4" xfId="1366" xr:uid="{423C8322-FD61-4B02-A390-DF86F9DCDFEF}"/>
    <cellStyle name="Dezimal [0] 2 5" xfId="1247" xr:uid="{897EF939-1519-42B0-AC98-6F2F0C558FD1}"/>
    <cellStyle name="Dezimal 2" xfId="527" xr:uid="{00000000-0005-0000-0000-00000E020000}"/>
    <cellStyle name="Dezimal 3" xfId="528" xr:uid="{00000000-0005-0000-0000-00000F020000}"/>
    <cellStyle name="Dezimal 3 2" xfId="529" xr:uid="{00000000-0005-0000-0000-000010020000}"/>
    <cellStyle name="Dezimal_Results_Pan_EU_OLGA_NUC" xfId="530" xr:uid="{00000000-0005-0000-0000-000011020000}"/>
    <cellStyle name="Dobre" xfId="531" xr:uid="{00000000-0005-0000-0000-000012020000}"/>
    <cellStyle name="Dobre 10" xfId="532" xr:uid="{00000000-0005-0000-0000-000013020000}"/>
    <cellStyle name="Dobre 10 2" xfId="533" xr:uid="{00000000-0005-0000-0000-000014020000}"/>
    <cellStyle name="Dobre 10 3" xfId="534" xr:uid="{00000000-0005-0000-0000-000015020000}"/>
    <cellStyle name="Dobre 11" xfId="535" xr:uid="{00000000-0005-0000-0000-000016020000}"/>
    <cellStyle name="Dobre 12" xfId="536" xr:uid="{00000000-0005-0000-0000-000017020000}"/>
    <cellStyle name="Dobre 13" xfId="537" xr:uid="{00000000-0005-0000-0000-000018020000}"/>
    <cellStyle name="Dobre 2" xfId="538" xr:uid="{00000000-0005-0000-0000-000019020000}"/>
    <cellStyle name="Dobre 3" xfId="539" xr:uid="{00000000-0005-0000-0000-00001A020000}"/>
    <cellStyle name="Dobre 4" xfId="540" xr:uid="{00000000-0005-0000-0000-00001B020000}"/>
    <cellStyle name="Dobre 5" xfId="541" xr:uid="{00000000-0005-0000-0000-00001C020000}"/>
    <cellStyle name="Dobre 6" xfId="542" xr:uid="{00000000-0005-0000-0000-00001D020000}"/>
    <cellStyle name="Dobre 7" xfId="543" xr:uid="{00000000-0005-0000-0000-00001E020000}"/>
    <cellStyle name="Dobre 8" xfId="544" xr:uid="{00000000-0005-0000-0000-00001F020000}"/>
    <cellStyle name="Dobre 9" xfId="545" xr:uid="{00000000-0005-0000-0000-000020020000}"/>
    <cellStyle name="Dobre 9 2" xfId="546" xr:uid="{00000000-0005-0000-0000-000021020000}"/>
    <cellStyle name="Dobre 9 3" xfId="547" xr:uid="{00000000-0005-0000-0000-000022020000}"/>
    <cellStyle name="Dobre_D_HEAT" xfId="548" xr:uid="{00000000-0005-0000-0000-000023020000}"/>
    <cellStyle name="Eingabe 2" xfId="549" xr:uid="{00000000-0005-0000-0000-000024020000}"/>
    <cellStyle name="Ergebnis 2" xfId="550" xr:uid="{00000000-0005-0000-0000-000025020000}"/>
    <cellStyle name="Erklärender Text 2" xfId="551" xr:uid="{00000000-0005-0000-0000-000026020000}"/>
    <cellStyle name="Euro" xfId="552" xr:uid="{00000000-0005-0000-0000-000027020000}"/>
    <cellStyle name="Euro 2" xfId="553" xr:uid="{00000000-0005-0000-0000-000028020000}"/>
    <cellStyle name="Euro 2 2" xfId="554" xr:uid="{00000000-0005-0000-0000-000029020000}"/>
    <cellStyle name="Euro 2 3" xfId="555" xr:uid="{00000000-0005-0000-0000-00002A020000}"/>
    <cellStyle name="Euro 3" xfId="556" xr:uid="{00000000-0005-0000-0000-00002B020000}"/>
    <cellStyle name="Euro 3 2" xfId="557" xr:uid="{00000000-0005-0000-0000-00002C020000}"/>
    <cellStyle name="Euro 3 3" xfId="558" xr:uid="{00000000-0005-0000-0000-00002D020000}"/>
    <cellStyle name="Euro 4" xfId="559" xr:uid="{00000000-0005-0000-0000-00002E020000}"/>
    <cellStyle name="Euro_Sheet4" xfId="560" xr:uid="{00000000-0005-0000-0000-00002F020000}"/>
    <cellStyle name="Explanatory Text 2" xfId="561" xr:uid="{00000000-0005-0000-0000-000030020000}"/>
    <cellStyle name="Explanatory Text 3" xfId="562" xr:uid="{00000000-0005-0000-0000-000031020000}"/>
    <cellStyle name="Fixed" xfId="563" xr:uid="{00000000-0005-0000-0000-000032020000}"/>
    <cellStyle name="Fixed1 - Style1" xfId="564" xr:uid="{00000000-0005-0000-0000-000033020000}"/>
    <cellStyle name="Good 2" xfId="565" xr:uid="{00000000-0005-0000-0000-000034020000}"/>
    <cellStyle name="Good 3" xfId="566" xr:uid="{00000000-0005-0000-0000-000035020000}"/>
    <cellStyle name="Grey" xfId="567" xr:uid="{00000000-0005-0000-0000-000036020000}"/>
    <cellStyle name="Gut 2" xfId="568" xr:uid="{00000000-0005-0000-0000-000037020000}"/>
    <cellStyle name="HEADER" xfId="569" xr:uid="{00000000-0005-0000-0000-000038020000}"/>
    <cellStyle name="Heading 1 10" xfId="570" xr:uid="{00000000-0005-0000-0000-000039020000}"/>
    <cellStyle name="Heading 1 11" xfId="571" xr:uid="{00000000-0005-0000-0000-00003A020000}"/>
    <cellStyle name="Heading 1 12" xfId="572" xr:uid="{00000000-0005-0000-0000-00003B020000}"/>
    <cellStyle name="Heading 1 13" xfId="573" xr:uid="{00000000-0005-0000-0000-00003C020000}"/>
    <cellStyle name="Heading 1 14" xfId="574" xr:uid="{00000000-0005-0000-0000-00003D020000}"/>
    <cellStyle name="Heading 1 15" xfId="575" xr:uid="{00000000-0005-0000-0000-00003E020000}"/>
    <cellStyle name="Heading 1 16" xfId="576" xr:uid="{00000000-0005-0000-0000-00003F020000}"/>
    <cellStyle name="Heading 1 17" xfId="577" xr:uid="{00000000-0005-0000-0000-000040020000}"/>
    <cellStyle name="Heading 1 18" xfId="578" xr:uid="{00000000-0005-0000-0000-000041020000}"/>
    <cellStyle name="Heading 1 19" xfId="579" xr:uid="{00000000-0005-0000-0000-000042020000}"/>
    <cellStyle name="Heading 1 2" xfId="580" xr:uid="{00000000-0005-0000-0000-000043020000}"/>
    <cellStyle name="Heading 1 2 2" xfId="581" xr:uid="{00000000-0005-0000-0000-000044020000}"/>
    <cellStyle name="Heading 1 20" xfId="582" xr:uid="{00000000-0005-0000-0000-000045020000}"/>
    <cellStyle name="Heading 1 3" xfId="583" xr:uid="{00000000-0005-0000-0000-000046020000}"/>
    <cellStyle name="Heading 1 4" xfId="584" xr:uid="{00000000-0005-0000-0000-000047020000}"/>
    <cellStyle name="Heading 1 5" xfId="585" xr:uid="{00000000-0005-0000-0000-000048020000}"/>
    <cellStyle name="Heading 1 6" xfId="586" xr:uid="{00000000-0005-0000-0000-000049020000}"/>
    <cellStyle name="Heading 1 7" xfId="587" xr:uid="{00000000-0005-0000-0000-00004A020000}"/>
    <cellStyle name="Heading 1 8" xfId="588" xr:uid="{00000000-0005-0000-0000-00004B020000}"/>
    <cellStyle name="Heading 1 9" xfId="589" xr:uid="{00000000-0005-0000-0000-00004C020000}"/>
    <cellStyle name="Heading 2 10" xfId="590" xr:uid="{00000000-0005-0000-0000-00004D020000}"/>
    <cellStyle name="Heading 2 11" xfId="591" xr:uid="{00000000-0005-0000-0000-00004E020000}"/>
    <cellStyle name="Heading 2 12" xfId="592" xr:uid="{00000000-0005-0000-0000-00004F020000}"/>
    <cellStyle name="Heading 2 13" xfId="593" xr:uid="{00000000-0005-0000-0000-000050020000}"/>
    <cellStyle name="Heading 2 14" xfId="594" xr:uid="{00000000-0005-0000-0000-000051020000}"/>
    <cellStyle name="Heading 2 15" xfId="595" xr:uid="{00000000-0005-0000-0000-000052020000}"/>
    <cellStyle name="Heading 2 16" xfId="596" xr:uid="{00000000-0005-0000-0000-000053020000}"/>
    <cellStyle name="Heading 2 17" xfId="597" xr:uid="{00000000-0005-0000-0000-000054020000}"/>
    <cellStyle name="Heading 2 18" xfId="598" xr:uid="{00000000-0005-0000-0000-000055020000}"/>
    <cellStyle name="Heading 2 19" xfId="599" xr:uid="{00000000-0005-0000-0000-000056020000}"/>
    <cellStyle name="Heading 2 2" xfId="600" xr:uid="{00000000-0005-0000-0000-000057020000}"/>
    <cellStyle name="Heading 2 2 2" xfId="601" xr:uid="{00000000-0005-0000-0000-000058020000}"/>
    <cellStyle name="Heading 2 20" xfId="602" xr:uid="{00000000-0005-0000-0000-000059020000}"/>
    <cellStyle name="Heading 2 3" xfId="603" xr:uid="{00000000-0005-0000-0000-00005A020000}"/>
    <cellStyle name="Heading 2 4" xfId="604" xr:uid="{00000000-0005-0000-0000-00005B020000}"/>
    <cellStyle name="Heading 2 5" xfId="605" xr:uid="{00000000-0005-0000-0000-00005C020000}"/>
    <cellStyle name="Heading 2 6" xfId="606" xr:uid="{00000000-0005-0000-0000-00005D020000}"/>
    <cellStyle name="Heading 2 7" xfId="607" xr:uid="{00000000-0005-0000-0000-00005E020000}"/>
    <cellStyle name="Heading 2 8" xfId="608" xr:uid="{00000000-0005-0000-0000-00005F020000}"/>
    <cellStyle name="Heading 2 9" xfId="609" xr:uid="{00000000-0005-0000-0000-000060020000}"/>
    <cellStyle name="Heading 3 2" xfId="610" xr:uid="{00000000-0005-0000-0000-000061020000}"/>
    <cellStyle name="Heading 3 3" xfId="611" xr:uid="{00000000-0005-0000-0000-000062020000}"/>
    <cellStyle name="Heading 4 2" xfId="612" xr:uid="{00000000-0005-0000-0000-000063020000}"/>
    <cellStyle name="Heading 4 3" xfId="613" xr:uid="{00000000-0005-0000-0000-000064020000}"/>
    <cellStyle name="Heading1" xfId="614" xr:uid="{00000000-0005-0000-0000-000065020000}"/>
    <cellStyle name="Heading2" xfId="615" xr:uid="{00000000-0005-0000-0000-000066020000}"/>
    <cellStyle name="Headline" xfId="616" xr:uid="{00000000-0005-0000-0000-000067020000}"/>
    <cellStyle name="HIGHLIGHT" xfId="617" xr:uid="{00000000-0005-0000-0000-000068020000}"/>
    <cellStyle name="Hiperłącze 2" xfId="618" xr:uid="{00000000-0005-0000-0000-000069020000}"/>
    <cellStyle name="Hiperłącze 2 2" xfId="619" xr:uid="{00000000-0005-0000-0000-00006A020000}"/>
    <cellStyle name="Hiperłącze 2 3" xfId="620" xr:uid="{00000000-0005-0000-0000-00006B020000}"/>
    <cellStyle name="Hiperłącze 3" xfId="1317" xr:uid="{CA93FD63-701A-4395-8FEB-56AF73BEEDEE}"/>
    <cellStyle name="Hyperlink" xfId="1300" xr:uid="{9B09C2C1-5F1F-4773-AC2A-658BCA474BDD}"/>
    <cellStyle name="Hyperlink 2" xfId="621" xr:uid="{00000000-0005-0000-0000-00006C020000}"/>
    <cellStyle name="Hyperlink 3" xfId="622" xr:uid="{00000000-0005-0000-0000-00006D020000}"/>
    <cellStyle name="Hyperlink 3 2" xfId="623" xr:uid="{00000000-0005-0000-0000-00006E020000}"/>
    <cellStyle name="Hyperlink 3 3" xfId="624" xr:uid="{00000000-0005-0000-0000-00006F020000}"/>
    <cellStyle name="Hyperlink 4" xfId="625" xr:uid="{00000000-0005-0000-0000-000070020000}"/>
    <cellStyle name="Input [yellow]" xfId="626" xr:uid="{00000000-0005-0000-0000-000071020000}"/>
    <cellStyle name="Input 10" xfId="627" xr:uid="{00000000-0005-0000-0000-000072020000}"/>
    <cellStyle name="Input 11" xfId="628" xr:uid="{00000000-0005-0000-0000-000073020000}"/>
    <cellStyle name="Input 12" xfId="629" xr:uid="{00000000-0005-0000-0000-000074020000}"/>
    <cellStyle name="Input 13" xfId="630" xr:uid="{00000000-0005-0000-0000-000075020000}"/>
    <cellStyle name="Input 14" xfId="631" xr:uid="{00000000-0005-0000-0000-000076020000}"/>
    <cellStyle name="Input 15" xfId="632" xr:uid="{00000000-0005-0000-0000-000077020000}"/>
    <cellStyle name="Input 16" xfId="633" xr:uid="{00000000-0005-0000-0000-000078020000}"/>
    <cellStyle name="Input 17" xfId="634" xr:uid="{00000000-0005-0000-0000-000079020000}"/>
    <cellStyle name="Input 18" xfId="635" xr:uid="{00000000-0005-0000-0000-00007A020000}"/>
    <cellStyle name="Input 19" xfId="636" xr:uid="{00000000-0005-0000-0000-00007B020000}"/>
    <cellStyle name="Input 2" xfId="637" xr:uid="{00000000-0005-0000-0000-00007C020000}"/>
    <cellStyle name="Input 20" xfId="638" xr:uid="{00000000-0005-0000-0000-00007D020000}"/>
    <cellStyle name="Input 21" xfId="639" xr:uid="{00000000-0005-0000-0000-00007E020000}"/>
    <cellStyle name="Input 22" xfId="640" xr:uid="{00000000-0005-0000-0000-00007F020000}"/>
    <cellStyle name="Input 23" xfId="641" xr:uid="{00000000-0005-0000-0000-000080020000}"/>
    <cellStyle name="Input 24" xfId="642" xr:uid="{00000000-0005-0000-0000-000081020000}"/>
    <cellStyle name="Input 25" xfId="643" xr:uid="{00000000-0005-0000-0000-000082020000}"/>
    <cellStyle name="Input 26" xfId="644" xr:uid="{00000000-0005-0000-0000-000083020000}"/>
    <cellStyle name="Input 27" xfId="645" xr:uid="{00000000-0005-0000-0000-000084020000}"/>
    <cellStyle name="Input 28" xfId="646" xr:uid="{00000000-0005-0000-0000-000085020000}"/>
    <cellStyle name="Input 29" xfId="647" xr:uid="{00000000-0005-0000-0000-000086020000}"/>
    <cellStyle name="Input 3" xfId="648" xr:uid="{00000000-0005-0000-0000-000087020000}"/>
    <cellStyle name="Input 30" xfId="649" xr:uid="{00000000-0005-0000-0000-000088020000}"/>
    <cellStyle name="Input 31" xfId="650" xr:uid="{00000000-0005-0000-0000-000089020000}"/>
    <cellStyle name="Input 32" xfId="651" xr:uid="{00000000-0005-0000-0000-00008A020000}"/>
    <cellStyle name="Input 33" xfId="652" xr:uid="{00000000-0005-0000-0000-00008B020000}"/>
    <cellStyle name="Input 34" xfId="653" xr:uid="{00000000-0005-0000-0000-00008C020000}"/>
    <cellStyle name="Input 35" xfId="654" xr:uid="{00000000-0005-0000-0000-00008D020000}"/>
    <cellStyle name="Input 36" xfId="655" xr:uid="{00000000-0005-0000-0000-00008E020000}"/>
    <cellStyle name="Input 37" xfId="656" xr:uid="{00000000-0005-0000-0000-00008F020000}"/>
    <cellStyle name="Input 38" xfId="657" xr:uid="{00000000-0005-0000-0000-000090020000}"/>
    <cellStyle name="Input 39" xfId="658" xr:uid="{00000000-0005-0000-0000-000091020000}"/>
    <cellStyle name="Input 4" xfId="659" xr:uid="{00000000-0005-0000-0000-000092020000}"/>
    <cellStyle name="Input 40" xfId="660" xr:uid="{00000000-0005-0000-0000-000093020000}"/>
    <cellStyle name="Input 41" xfId="661" xr:uid="{00000000-0005-0000-0000-000094020000}"/>
    <cellStyle name="Input 42" xfId="662" xr:uid="{00000000-0005-0000-0000-000095020000}"/>
    <cellStyle name="Input 43" xfId="663" xr:uid="{00000000-0005-0000-0000-000096020000}"/>
    <cellStyle name="Input 44" xfId="664" xr:uid="{00000000-0005-0000-0000-000097020000}"/>
    <cellStyle name="Input 5" xfId="665" xr:uid="{00000000-0005-0000-0000-000098020000}"/>
    <cellStyle name="Input 6" xfId="666" xr:uid="{00000000-0005-0000-0000-000099020000}"/>
    <cellStyle name="Input 7" xfId="667" xr:uid="{00000000-0005-0000-0000-00009A020000}"/>
    <cellStyle name="Input 8" xfId="668" xr:uid="{00000000-0005-0000-0000-00009B020000}"/>
    <cellStyle name="Input 9" xfId="669" xr:uid="{00000000-0005-0000-0000-00009C020000}"/>
    <cellStyle name="InputCells" xfId="670" xr:uid="{00000000-0005-0000-0000-00009D020000}"/>
    <cellStyle name="InputCells12_BBorder_CRFReport-template" xfId="671" xr:uid="{00000000-0005-0000-0000-00009E020000}"/>
    <cellStyle name="Komma 2" xfId="672" xr:uid="{00000000-0005-0000-0000-00009F020000}"/>
    <cellStyle name="Komma 3" xfId="673" xr:uid="{00000000-0005-0000-0000-0000A0020000}"/>
    <cellStyle name="Komma 3 2" xfId="1302" xr:uid="{71F514FE-EB6D-4491-B47B-F6415BCA26AE}"/>
    <cellStyle name="Komma 3 2 2" xfId="1362" xr:uid="{F7C3B805-C67F-4704-BF44-A8CC083944BA}"/>
    <cellStyle name="Komma 3 2 2 2" xfId="1654" xr:uid="{08AE8BE7-C63C-4D9E-8CF5-1CB812FBB167}"/>
    <cellStyle name="Komma 3 2 2 3" xfId="1565" xr:uid="{E9A4DC0A-CAAD-44C2-9E8A-07D3EEC3BEB0}"/>
    <cellStyle name="Komma 3 2 3" xfId="1514" xr:uid="{1BC09BA9-59B8-4A5C-982B-06257459AAF7}"/>
    <cellStyle name="Komma 3 2 4" xfId="1610" xr:uid="{B1E9FADA-8A31-4E4B-8728-59DC5FBA548C}"/>
    <cellStyle name="Komma 3 2 5" xfId="1413" xr:uid="{1DA4EDA5-6D82-45C6-AC3F-CBDA927D264D}"/>
    <cellStyle name="Komma 3 3" xfId="1367" xr:uid="{84E0DFF1-B9BE-4B17-BADF-D67083D8EA9B}"/>
    <cellStyle name="Komma 3 4" xfId="1248" xr:uid="{8FF57A0D-6048-450C-BAE0-3916A82BD226}"/>
    <cellStyle name="Komma 4" xfId="674" xr:uid="{00000000-0005-0000-0000-0000A1020000}"/>
    <cellStyle name="Komórka połączona" xfId="675" xr:uid="{00000000-0005-0000-0000-0000A2020000}"/>
    <cellStyle name="Komórka połączona 10" xfId="676" xr:uid="{00000000-0005-0000-0000-0000A3020000}"/>
    <cellStyle name="Komórka połączona 10 2" xfId="677" xr:uid="{00000000-0005-0000-0000-0000A4020000}"/>
    <cellStyle name="Komórka połączona 10 3" xfId="678" xr:uid="{00000000-0005-0000-0000-0000A5020000}"/>
    <cellStyle name="Komórka połączona 11" xfId="679" xr:uid="{00000000-0005-0000-0000-0000A6020000}"/>
    <cellStyle name="Komórka połączona 12" xfId="680" xr:uid="{00000000-0005-0000-0000-0000A7020000}"/>
    <cellStyle name="Komórka połączona 2" xfId="681" xr:uid="{00000000-0005-0000-0000-0000A8020000}"/>
    <cellStyle name="Komórka połączona 3" xfId="682" xr:uid="{00000000-0005-0000-0000-0000A9020000}"/>
    <cellStyle name="Komórka połączona 4" xfId="683" xr:uid="{00000000-0005-0000-0000-0000AA020000}"/>
    <cellStyle name="Komórka połączona 5" xfId="684" xr:uid="{00000000-0005-0000-0000-0000AB020000}"/>
    <cellStyle name="Komórka połączona 6" xfId="685" xr:uid="{00000000-0005-0000-0000-0000AC020000}"/>
    <cellStyle name="Komórka połączona 7" xfId="686" xr:uid="{00000000-0005-0000-0000-0000AD020000}"/>
    <cellStyle name="Komórka połączona 8" xfId="687" xr:uid="{00000000-0005-0000-0000-0000AE020000}"/>
    <cellStyle name="Komórka połączona 9" xfId="688" xr:uid="{00000000-0005-0000-0000-0000AF020000}"/>
    <cellStyle name="Komórka połączona 9 2" xfId="689" xr:uid="{00000000-0005-0000-0000-0000B0020000}"/>
    <cellStyle name="Komórka połączona 9 3" xfId="690" xr:uid="{00000000-0005-0000-0000-0000B1020000}"/>
    <cellStyle name="Komórka połączona_D_HEAT" xfId="691" xr:uid="{00000000-0005-0000-0000-0000B2020000}"/>
    <cellStyle name="Komórka zaznaczona 10" xfId="692" xr:uid="{00000000-0005-0000-0000-0000B3020000}"/>
    <cellStyle name="Komórka zaznaczona 10 2" xfId="693" xr:uid="{00000000-0005-0000-0000-0000B4020000}"/>
    <cellStyle name="Komórka zaznaczona 10 3" xfId="694" xr:uid="{00000000-0005-0000-0000-0000B5020000}"/>
    <cellStyle name="Komórka zaznaczona 11" xfId="695" xr:uid="{00000000-0005-0000-0000-0000B6020000}"/>
    <cellStyle name="Komórka zaznaczona 12" xfId="696" xr:uid="{00000000-0005-0000-0000-0000B7020000}"/>
    <cellStyle name="Komórka zaznaczona 2" xfId="697" xr:uid="{00000000-0005-0000-0000-0000B8020000}"/>
    <cellStyle name="Komórka zaznaczona 3" xfId="698" xr:uid="{00000000-0005-0000-0000-0000B9020000}"/>
    <cellStyle name="Komórka zaznaczona 4" xfId="699" xr:uid="{00000000-0005-0000-0000-0000BA020000}"/>
    <cellStyle name="Komórka zaznaczona 5" xfId="700" xr:uid="{00000000-0005-0000-0000-0000BB020000}"/>
    <cellStyle name="Komórka zaznaczona 6" xfId="701" xr:uid="{00000000-0005-0000-0000-0000BC020000}"/>
    <cellStyle name="Komórka zaznaczona 7" xfId="702" xr:uid="{00000000-0005-0000-0000-0000BD020000}"/>
    <cellStyle name="Komórka zaznaczona 8" xfId="703" xr:uid="{00000000-0005-0000-0000-0000BE020000}"/>
    <cellStyle name="Komórka zaznaczona 9" xfId="704" xr:uid="{00000000-0005-0000-0000-0000BF020000}"/>
    <cellStyle name="Komórka zaznaczona 9 2" xfId="705" xr:uid="{00000000-0005-0000-0000-0000C0020000}"/>
    <cellStyle name="Komórka zaznaczona 9 3" xfId="706" xr:uid="{00000000-0005-0000-0000-0000C1020000}"/>
    <cellStyle name="Linked Cell 2" xfId="707" xr:uid="{00000000-0005-0000-0000-0000C2020000}"/>
    <cellStyle name="Linked Cell 3" xfId="708" xr:uid="{00000000-0005-0000-0000-0000C3020000}"/>
    <cellStyle name="Nagłówek 1 10" xfId="709" xr:uid="{00000000-0005-0000-0000-0000C4020000}"/>
    <cellStyle name="Nagłówek 1 10 2" xfId="710" xr:uid="{00000000-0005-0000-0000-0000C5020000}"/>
    <cellStyle name="Nagłówek 1 10 3" xfId="711" xr:uid="{00000000-0005-0000-0000-0000C6020000}"/>
    <cellStyle name="Nagłówek 1 11" xfId="712" xr:uid="{00000000-0005-0000-0000-0000C7020000}"/>
    <cellStyle name="Nagłówek 1 12" xfId="713" xr:uid="{00000000-0005-0000-0000-0000C8020000}"/>
    <cellStyle name="Nagłówek 1 2" xfId="714" xr:uid="{00000000-0005-0000-0000-0000C9020000}"/>
    <cellStyle name="Nagłówek 1 3" xfId="715" xr:uid="{00000000-0005-0000-0000-0000CA020000}"/>
    <cellStyle name="Nagłówek 1 4" xfId="716" xr:uid="{00000000-0005-0000-0000-0000CB020000}"/>
    <cellStyle name="Nagłówek 1 5" xfId="717" xr:uid="{00000000-0005-0000-0000-0000CC020000}"/>
    <cellStyle name="Nagłówek 1 6" xfId="718" xr:uid="{00000000-0005-0000-0000-0000CD020000}"/>
    <cellStyle name="Nagłówek 1 7" xfId="719" xr:uid="{00000000-0005-0000-0000-0000CE020000}"/>
    <cellStyle name="Nagłówek 1 8" xfId="720" xr:uid="{00000000-0005-0000-0000-0000CF020000}"/>
    <cellStyle name="Nagłówek 1 9" xfId="721" xr:uid="{00000000-0005-0000-0000-0000D0020000}"/>
    <cellStyle name="Nagłówek 1 9 2" xfId="722" xr:uid="{00000000-0005-0000-0000-0000D1020000}"/>
    <cellStyle name="Nagłówek 1 9 3" xfId="723" xr:uid="{00000000-0005-0000-0000-0000D2020000}"/>
    <cellStyle name="Nagłówek 2 10" xfId="724" xr:uid="{00000000-0005-0000-0000-0000D3020000}"/>
    <cellStyle name="Nagłówek 2 10 2" xfId="725" xr:uid="{00000000-0005-0000-0000-0000D4020000}"/>
    <cellStyle name="Nagłówek 2 10 3" xfId="726" xr:uid="{00000000-0005-0000-0000-0000D5020000}"/>
    <cellStyle name="Nagłówek 2 11" xfId="727" xr:uid="{00000000-0005-0000-0000-0000D6020000}"/>
    <cellStyle name="Nagłówek 2 12" xfId="728" xr:uid="{00000000-0005-0000-0000-0000D7020000}"/>
    <cellStyle name="Nagłówek 2 2" xfId="729" xr:uid="{00000000-0005-0000-0000-0000D8020000}"/>
    <cellStyle name="Nagłówek 2 3" xfId="730" xr:uid="{00000000-0005-0000-0000-0000D9020000}"/>
    <cellStyle name="Nagłówek 2 4" xfId="731" xr:uid="{00000000-0005-0000-0000-0000DA020000}"/>
    <cellStyle name="Nagłówek 2 5" xfId="732" xr:uid="{00000000-0005-0000-0000-0000DB020000}"/>
    <cellStyle name="Nagłówek 2 6" xfId="733" xr:uid="{00000000-0005-0000-0000-0000DC020000}"/>
    <cellStyle name="Nagłówek 2 7" xfId="734" xr:uid="{00000000-0005-0000-0000-0000DD020000}"/>
    <cellStyle name="Nagłówek 2 8" xfId="735" xr:uid="{00000000-0005-0000-0000-0000DE020000}"/>
    <cellStyle name="Nagłówek 2 9" xfId="736" xr:uid="{00000000-0005-0000-0000-0000DF020000}"/>
    <cellStyle name="Nagłówek 2 9 2" xfId="737" xr:uid="{00000000-0005-0000-0000-0000E0020000}"/>
    <cellStyle name="Nagłówek 2 9 3" xfId="738" xr:uid="{00000000-0005-0000-0000-0000E1020000}"/>
    <cellStyle name="Nagłówek 3 10" xfId="739" xr:uid="{00000000-0005-0000-0000-0000E2020000}"/>
    <cellStyle name="Nagłówek 3 10 2" xfId="740" xr:uid="{00000000-0005-0000-0000-0000E3020000}"/>
    <cellStyle name="Nagłówek 3 10 3" xfId="741" xr:uid="{00000000-0005-0000-0000-0000E4020000}"/>
    <cellStyle name="Nagłówek 3 11" xfId="742" xr:uid="{00000000-0005-0000-0000-0000E5020000}"/>
    <cellStyle name="Nagłówek 3 12" xfId="743" xr:uid="{00000000-0005-0000-0000-0000E6020000}"/>
    <cellStyle name="Nagłówek 3 2" xfId="744" xr:uid="{00000000-0005-0000-0000-0000E7020000}"/>
    <cellStyle name="Nagłówek 3 3" xfId="745" xr:uid="{00000000-0005-0000-0000-0000E8020000}"/>
    <cellStyle name="Nagłówek 3 4" xfId="746" xr:uid="{00000000-0005-0000-0000-0000E9020000}"/>
    <cellStyle name="Nagłówek 3 5" xfId="747" xr:uid="{00000000-0005-0000-0000-0000EA020000}"/>
    <cellStyle name="Nagłówek 3 6" xfId="748" xr:uid="{00000000-0005-0000-0000-0000EB020000}"/>
    <cellStyle name="Nagłówek 3 7" xfId="749" xr:uid="{00000000-0005-0000-0000-0000EC020000}"/>
    <cellStyle name="Nagłówek 3 8" xfId="750" xr:uid="{00000000-0005-0000-0000-0000ED020000}"/>
    <cellStyle name="Nagłówek 3 9" xfId="751" xr:uid="{00000000-0005-0000-0000-0000EE020000}"/>
    <cellStyle name="Nagłówek 3 9 2" xfId="752" xr:uid="{00000000-0005-0000-0000-0000EF020000}"/>
    <cellStyle name="Nagłówek 3 9 3" xfId="753" xr:uid="{00000000-0005-0000-0000-0000F0020000}"/>
    <cellStyle name="Nagłówek 4 10" xfId="754" xr:uid="{00000000-0005-0000-0000-0000F1020000}"/>
    <cellStyle name="Nagłówek 4 10 2" xfId="755" xr:uid="{00000000-0005-0000-0000-0000F2020000}"/>
    <cellStyle name="Nagłówek 4 10 3" xfId="756" xr:uid="{00000000-0005-0000-0000-0000F3020000}"/>
    <cellStyle name="Nagłówek 4 11" xfId="757" xr:uid="{00000000-0005-0000-0000-0000F4020000}"/>
    <cellStyle name="Nagłówek 4 12" xfId="758" xr:uid="{00000000-0005-0000-0000-0000F5020000}"/>
    <cellStyle name="Nagłówek 4 2" xfId="759" xr:uid="{00000000-0005-0000-0000-0000F6020000}"/>
    <cellStyle name="Nagłówek 4 3" xfId="760" xr:uid="{00000000-0005-0000-0000-0000F7020000}"/>
    <cellStyle name="Nagłówek 4 4" xfId="761" xr:uid="{00000000-0005-0000-0000-0000F8020000}"/>
    <cellStyle name="Nagłówek 4 5" xfId="762" xr:uid="{00000000-0005-0000-0000-0000F9020000}"/>
    <cellStyle name="Nagłówek 4 6" xfId="763" xr:uid="{00000000-0005-0000-0000-0000FA020000}"/>
    <cellStyle name="Nagłówek 4 7" xfId="764" xr:uid="{00000000-0005-0000-0000-0000FB020000}"/>
    <cellStyle name="Nagłówek 4 8" xfId="765" xr:uid="{00000000-0005-0000-0000-0000FC020000}"/>
    <cellStyle name="Nagłówek 4 9" xfId="766" xr:uid="{00000000-0005-0000-0000-0000FD020000}"/>
    <cellStyle name="Nagłówek 4 9 2" xfId="767" xr:uid="{00000000-0005-0000-0000-0000FE020000}"/>
    <cellStyle name="Nagłówek 4 9 3" xfId="768" xr:uid="{00000000-0005-0000-0000-0000FF020000}"/>
    <cellStyle name="Neutral 2" xfId="769" xr:uid="{00000000-0005-0000-0000-000000030000}"/>
    <cellStyle name="Neutral 3" xfId="770" xr:uid="{00000000-0005-0000-0000-000001030000}"/>
    <cellStyle name="Neutralne" xfId="771" xr:uid="{00000000-0005-0000-0000-000002030000}"/>
    <cellStyle name="Neutralne 10" xfId="772" xr:uid="{00000000-0005-0000-0000-000003030000}"/>
    <cellStyle name="Neutralne 10 2" xfId="773" xr:uid="{00000000-0005-0000-0000-000004030000}"/>
    <cellStyle name="Neutralne 10 3" xfId="774" xr:uid="{00000000-0005-0000-0000-000005030000}"/>
    <cellStyle name="Neutralne 11" xfId="775" xr:uid="{00000000-0005-0000-0000-000006030000}"/>
    <cellStyle name="Neutralne 12" xfId="776" xr:uid="{00000000-0005-0000-0000-000007030000}"/>
    <cellStyle name="Neutralne 13" xfId="777" xr:uid="{00000000-0005-0000-0000-000008030000}"/>
    <cellStyle name="Neutralne 2" xfId="778" xr:uid="{00000000-0005-0000-0000-000009030000}"/>
    <cellStyle name="Neutralne 3" xfId="779" xr:uid="{00000000-0005-0000-0000-00000A030000}"/>
    <cellStyle name="Neutralne 4" xfId="780" xr:uid="{00000000-0005-0000-0000-00000B030000}"/>
    <cellStyle name="Neutralne 5" xfId="781" xr:uid="{00000000-0005-0000-0000-00000C030000}"/>
    <cellStyle name="Neutralne 6" xfId="782" xr:uid="{00000000-0005-0000-0000-00000D030000}"/>
    <cellStyle name="Neutralne 7" xfId="783" xr:uid="{00000000-0005-0000-0000-00000E030000}"/>
    <cellStyle name="Neutralne 8" xfId="784" xr:uid="{00000000-0005-0000-0000-00000F030000}"/>
    <cellStyle name="Neutralne 9" xfId="785" xr:uid="{00000000-0005-0000-0000-000010030000}"/>
    <cellStyle name="Neutralne 9 2" xfId="786" xr:uid="{00000000-0005-0000-0000-000011030000}"/>
    <cellStyle name="Neutralne 9 3" xfId="787" xr:uid="{00000000-0005-0000-0000-000012030000}"/>
    <cellStyle name="Neutralne_D_HEAT" xfId="788" xr:uid="{00000000-0005-0000-0000-000013030000}"/>
    <cellStyle name="no dec" xfId="789" xr:uid="{00000000-0005-0000-0000-000014030000}"/>
    <cellStyle name="Normal" xfId="0" builtinId="0"/>
    <cellStyle name="Normal - Style1" xfId="790" xr:uid="{00000000-0005-0000-0000-000015030000}"/>
    <cellStyle name="Normal - Style1 2" xfId="1303" xr:uid="{BDE09BD5-737E-4770-A469-05F5355B1BAB}"/>
    <cellStyle name="Normal - Style1 2 2" xfId="1363" xr:uid="{3B24C613-057C-46F1-8572-C5BC3EE07FFF}"/>
    <cellStyle name="Normal - Style1 2 2 2" xfId="1655" xr:uid="{B37B4B14-507F-405B-91EE-0A7B56FE9505}"/>
    <cellStyle name="Normal - Style1 2 2 3" xfId="1566" xr:uid="{4D0FC060-DBF1-4988-BC0B-1CC2808D24EA}"/>
    <cellStyle name="Normal - Style1 2 3" xfId="1515" xr:uid="{9C497FEF-E1E0-4368-B805-4936E5B53CD3}"/>
    <cellStyle name="Normal - Style1 2 4" xfId="1611" xr:uid="{186D65C3-B5A3-488F-934E-355A3AE37B1C}"/>
    <cellStyle name="Normal - Style1 2 5" xfId="1414" xr:uid="{95CA95C9-A971-4E67-B1D7-0A72CAE37253}"/>
    <cellStyle name="Normal - Style1 3" xfId="1368" xr:uid="{B157D6AA-128D-493A-8E06-9014E614E4A3}"/>
    <cellStyle name="Normal - Style1 4" xfId="1249" xr:uid="{5D410455-67FA-44D0-864D-EB33DE87055F}"/>
    <cellStyle name="Normal 10" xfId="791" xr:uid="{00000000-0005-0000-0000-000016030000}"/>
    <cellStyle name="Normal 10 15 2" xfId="1316" xr:uid="{F575CBF7-800E-437C-9078-2CFB7B22A1E8}"/>
    <cellStyle name="Normal 11" xfId="1657" xr:uid="{35F5F764-FC5B-40A8-9E97-B0E3EA0FA095}"/>
    <cellStyle name="Normal 12" xfId="1410" xr:uid="{4A23CA8E-7420-4A3E-ACDF-3FCFD58338F6}"/>
    <cellStyle name="Normal 14" xfId="792" xr:uid="{00000000-0005-0000-0000-000017030000}"/>
    <cellStyle name="Normal 2" xfId="793" xr:uid="{00000000-0005-0000-0000-000018030000}"/>
    <cellStyle name="Normal 20" xfId="794" xr:uid="{00000000-0005-0000-0000-000019030000}"/>
    <cellStyle name="Normal 21" xfId="795" xr:uid="{00000000-0005-0000-0000-00001A030000}"/>
    <cellStyle name="Normal 3" xfId="796" xr:uid="{00000000-0005-0000-0000-00001B030000}"/>
    <cellStyle name="Normal 3 2" xfId="797" xr:uid="{00000000-0005-0000-0000-00001C030000}"/>
    <cellStyle name="Normal 3 3" xfId="798" xr:uid="{00000000-0005-0000-0000-00001D030000}"/>
    <cellStyle name="Normal 3 4" xfId="799" xr:uid="{00000000-0005-0000-0000-00001E030000}"/>
    <cellStyle name="Normal 39 2 2" xfId="1315" xr:uid="{A2A25B74-6AAA-48A6-8309-9579033C250D}"/>
    <cellStyle name="Normal 39 2 2 2" xfId="1522" xr:uid="{F01D1F83-284E-433C-84B9-B42BEDA4661C}"/>
    <cellStyle name="Normal 4" xfId="800" xr:uid="{00000000-0005-0000-0000-00001F030000}"/>
    <cellStyle name="Normal 4 2" xfId="801" xr:uid="{00000000-0005-0000-0000-000020030000}"/>
    <cellStyle name="Normal 5" xfId="1244" xr:uid="{00000000-0005-0000-0000-000021030000}"/>
    <cellStyle name="Normal 5 2" xfId="802" xr:uid="{00000000-0005-0000-0000-000022030000}"/>
    <cellStyle name="Normal 5 3" xfId="1314" xr:uid="{4E9BD5B1-AC2D-4306-B7A2-49327FE5AD13}"/>
    <cellStyle name="Normal 5 4" xfId="1512" xr:uid="{67EFEBDB-CD08-4F80-8F02-4610907F6F98}"/>
    <cellStyle name="Normal 6" xfId="1319" xr:uid="{CD136D9B-4BFA-44F5-B141-2D1C1F9F7179}"/>
    <cellStyle name="Normal 6 2" xfId="803" xr:uid="{00000000-0005-0000-0000-000023030000}"/>
    <cellStyle name="Normal 7" xfId="1567" xr:uid="{11F8F472-6DA3-4943-BFA3-AC16B8E6695D}"/>
    <cellStyle name="Normal 7 2" xfId="804" xr:uid="{00000000-0005-0000-0000-000024030000}"/>
    <cellStyle name="Normal 8" xfId="1365" xr:uid="{84040743-A8B5-4D3E-BFEC-2184A060DB10}"/>
    <cellStyle name="Normal 9" xfId="1411" xr:uid="{2BECD173-8381-4528-A326-9A7273219843}"/>
    <cellStyle name="Normal GHG Textfiels Bold" xfId="805" xr:uid="{00000000-0005-0000-0000-000025030000}"/>
    <cellStyle name="Normal GHG-Shade" xfId="806" xr:uid="{00000000-0005-0000-0000-000026030000}"/>
    <cellStyle name="Normal GHG-Shade 2" xfId="807" xr:uid="{00000000-0005-0000-0000-000027030000}"/>
    <cellStyle name="Normale_B2020" xfId="808" xr:uid="{00000000-0005-0000-0000-000028030000}"/>
    <cellStyle name="Normalny 10" xfId="809" xr:uid="{00000000-0005-0000-0000-00002A030000}"/>
    <cellStyle name="Normalny 10 2" xfId="810" xr:uid="{00000000-0005-0000-0000-00002B030000}"/>
    <cellStyle name="Normalny 10 2 2" xfId="811" xr:uid="{00000000-0005-0000-0000-00002C030000}"/>
    <cellStyle name="Normalny 10 2 3" xfId="812" xr:uid="{00000000-0005-0000-0000-00002D030000}"/>
    <cellStyle name="Normalny 10 2 3 2" xfId="1418" xr:uid="{246A8C7C-03F6-4C55-98D7-F926EF774165}"/>
    <cellStyle name="Normalny 10 2 4" xfId="813" xr:uid="{00000000-0005-0000-0000-00002E030000}"/>
    <cellStyle name="Normalny 10 2 4 2" xfId="1419" xr:uid="{37965E11-A9E8-42CE-A2F0-AC01E9F97E4B}"/>
    <cellStyle name="Normalny 10 2 5" xfId="1417" xr:uid="{BBA19051-F14A-48CD-B672-0063EC930F06}"/>
    <cellStyle name="Normalny 10 3" xfId="814" xr:uid="{00000000-0005-0000-0000-00002F030000}"/>
    <cellStyle name="Normalny 10 3 2" xfId="815" xr:uid="{00000000-0005-0000-0000-000030030000}"/>
    <cellStyle name="Normalny 10 3 3" xfId="816" xr:uid="{00000000-0005-0000-0000-000031030000}"/>
    <cellStyle name="Normalny 10 4" xfId="817" xr:uid="{00000000-0005-0000-0000-000032030000}"/>
    <cellStyle name="Normalny 10 5" xfId="1416" xr:uid="{EBDF6593-4980-484F-8DB3-9956409E1180}"/>
    <cellStyle name="Normalny 11" xfId="818" xr:uid="{00000000-0005-0000-0000-000033030000}"/>
    <cellStyle name="Normalny 11 2" xfId="819" xr:uid="{00000000-0005-0000-0000-000034030000}"/>
    <cellStyle name="Normalny 11 2 2" xfId="820" xr:uid="{00000000-0005-0000-0000-000035030000}"/>
    <cellStyle name="Normalny 11 2 2 2" xfId="1422" xr:uid="{636646B6-990F-4FDE-8AF7-A5206F29270E}"/>
    <cellStyle name="Normalny 11 2 3" xfId="821" xr:uid="{00000000-0005-0000-0000-000036030000}"/>
    <cellStyle name="Normalny 11 2 3 2" xfId="1423" xr:uid="{046B1104-4BC1-4B96-87D0-47E4C856112B}"/>
    <cellStyle name="Normalny 11 2 4" xfId="1421" xr:uid="{45CBDB96-B50F-4DAC-9C60-D1A15C19427B}"/>
    <cellStyle name="Normalny 11 3" xfId="822" xr:uid="{00000000-0005-0000-0000-000037030000}"/>
    <cellStyle name="Normalny 11 3 2" xfId="823" xr:uid="{00000000-0005-0000-0000-000038030000}"/>
    <cellStyle name="Normalny 11 3 2 2" xfId="824" xr:uid="{00000000-0005-0000-0000-000039030000}"/>
    <cellStyle name="Normalny 11 3 2 2 2" xfId="1426" xr:uid="{AEF3FD52-7A5E-48EE-9479-21321A197B0F}"/>
    <cellStyle name="Normalny 11 3 2 3" xfId="825" xr:uid="{00000000-0005-0000-0000-00003A030000}"/>
    <cellStyle name="Normalny 11 3 2 3 2" xfId="1427" xr:uid="{9C5906B4-A2E7-4BBA-AF09-17F01F25D115}"/>
    <cellStyle name="Normalny 11 3 2 4" xfId="1425" xr:uid="{C2F1F737-EC3D-4657-BE1C-43B828E705C2}"/>
    <cellStyle name="Normalny 11 3 3" xfId="826" xr:uid="{00000000-0005-0000-0000-00003B030000}"/>
    <cellStyle name="Normalny 11 3 3 2" xfId="1428" xr:uid="{35B00F7B-DABF-4BC7-80C0-57367409EF71}"/>
    <cellStyle name="Normalny 11 3 4" xfId="1424" xr:uid="{F805AEF5-7975-4D92-B4BB-E50CEFAD0267}"/>
    <cellStyle name="Normalny 11 4" xfId="827" xr:uid="{00000000-0005-0000-0000-00003C030000}"/>
    <cellStyle name="Normalny 11 4 2" xfId="828" xr:uid="{00000000-0005-0000-0000-00003D030000}"/>
    <cellStyle name="Normalny 11 4 2 2" xfId="1430" xr:uid="{A6F21BA7-4919-4BB0-8038-11B3A07055E7}"/>
    <cellStyle name="Normalny 11 4 3" xfId="829" xr:uid="{00000000-0005-0000-0000-00003E030000}"/>
    <cellStyle name="Normalny 11 4 3 2" xfId="1431" xr:uid="{E271DC47-0CE5-4646-AED3-D05B3B0B8C70}"/>
    <cellStyle name="Normalny 11 4 4" xfId="1429" xr:uid="{49106035-F979-4346-8019-1F01D0164129}"/>
    <cellStyle name="Normalny 11 5" xfId="830" xr:uid="{00000000-0005-0000-0000-00003F030000}"/>
    <cellStyle name="Normalny 11 5 2" xfId="831" xr:uid="{00000000-0005-0000-0000-000040030000}"/>
    <cellStyle name="Normalny 11 5 2 2" xfId="1433" xr:uid="{BA9F8368-DCC2-4ED2-8063-558C958D23C4}"/>
    <cellStyle name="Normalny 11 5 3" xfId="832" xr:uid="{00000000-0005-0000-0000-000041030000}"/>
    <cellStyle name="Normalny 11 5 3 2" xfId="1434" xr:uid="{68DD408B-C38C-44AC-95C7-02629180CDD9}"/>
    <cellStyle name="Normalny 11 5 4" xfId="1432" xr:uid="{DA4031DF-37E7-4048-9D2A-9B98F49C4BD1}"/>
    <cellStyle name="Normalny 11 6" xfId="833" xr:uid="{00000000-0005-0000-0000-000042030000}"/>
    <cellStyle name="Normalny 11 6 2" xfId="1304" xr:uid="{C9350F38-2B09-4094-895D-5F903708F734}"/>
    <cellStyle name="Normalny 11 6 2 2" xfId="1516" xr:uid="{D4A223A0-FBDC-46C9-B0B0-6E9A8164A2AE}"/>
    <cellStyle name="Normalny 11 6 3" xfId="1435" xr:uid="{9AB2D3B1-E7B5-4E8B-955A-6149D8AE14A4}"/>
    <cellStyle name="Normalny 11 6 4" xfId="1250" xr:uid="{F7D51284-187D-4DE3-9FE7-3E899DB78578}"/>
    <cellStyle name="Normalny 11 7" xfId="834" xr:uid="{00000000-0005-0000-0000-000043030000}"/>
    <cellStyle name="Normalny 11 7 2" xfId="1305" xr:uid="{26082081-F16E-46D1-BFA5-E6B279FFB669}"/>
    <cellStyle name="Normalny 11 7 2 2" xfId="1517" xr:uid="{EBAEF8AC-68C4-490E-A657-3A78EF77EE99}"/>
    <cellStyle name="Normalny 11 7 3" xfId="1436" xr:uid="{FA528457-7C04-43F6-9E82-C34ADCE6BF85}"/>
    <cellStyle name="Normalny 11 7 4" xfId="1251" xr:uid="{5E716CD7-750F-455C-91FC-647B01078FD2}"/>
    <cellStyle name="Normalny 11 8" xfId="1420" xr:uid="{8AF130C7-C408-4AB5-A45A-DE0B68759CF7}"/>
    <cellStyle name="Normalny 12" xfId="835" xr:uid="{00000000-0005-0000-0000-000044030000}"/>
    <cellStyle name="Normalny 13" xfId="836" xr:uid="{00000000-0005-0000-0000-000045030000}"/>
    <cellStyle name="Normalny 13 10" xfId="837" xr:uid="{00000000-0005-0000-0000-000046030000}"/>
    <cellStyle name="Normalny 13 10 2" xfId="1306" xr:uid="{D1E7DD1F-46F3-4AAE-94C4-BB080362128D}"/>
    <cellStyle name="Normalny 13 10 3" xfId="1253" xr:uid="{138FE3E2-47D7-4AA4-925F-8EFDC3DADAAE}"/>
    <cellStyle name="Normalny 13 11" xfId="1320" xr:uid="{6300E759-39BE-4832-B1F9-0A0C02431DB6}"/>
    <cellStyle name="Normalny 13 11 2" xfId="1612" xr:uid="{2F6D41FC-B8A2-4885-9E45-B6A5A3E19981}"/>
    <cellStyle name="Normalny 13 11 3" xfId="1523" xr:uid="{AA247E14-912F-4B45-AC0A-4C2129CF0130}"/>
    <cellStyle name="Normalny 13 12" xfId="1437" xr:uid="{41D94B00-8712-4C2E-922A-9557EAAB6EAC}"/>
    <cellStyle name="Normalny 13 13" xfId="1568" xr:uid="{668E8447-8462-4A10-8003-7FF438071EA4}"/>
    <cellStyle name="Normalny 13 14" xfId="1369" xr:uid="{80CE923C-0D16-4C06-BA7F-A5347BEE04FE}"/>
    <cellStyle name="Normalny 13 15" xfId="1252" xr:uid="{A07CB6E0-7683-44D9-8FC6-51E7D95FC0DB}"/>
    <cellStyle name="Normalny 13 2" xfId="838" xr:uid="{00000000-0005-0000-0000-000047030000}"/>
    <cellStyle name="Normalny 13 2 10" xfId="1569" xr:uid="{33FEC90C-AF95-4723-B13F-BC273D1D708B}"/>
    <cellStyle name="Normalny 13 2 11" xfId="1370" xr:uid="{F39192CD-3D49-4B84-8956-31F5AB786D80}"/>
    <cellStyle name="Normalny 13 2 12" xfId="1254" xr:uid="{DC36D9D6-2AF3-406A-83F9-78BD04A97C06}"/>
    <cellStyle name="Normalny 13 2 2" xfId="839" xr:uid="{00000000-0005-0000-0000-000048030000}"/>
    <cellStyle name="Normalny 13 2 2 10" xfId="1371" xr:uid="{D25C3F72-A7FA-4BD0-82D3-EFB73A4085A5}"/>
    <cellStyle name="Normalny 13 2 2 11" xfId="1255" xr:uid="{3A9EFDCE-372D-429C-B656-C8A1D5E1F4E3}"/>
    <cellStyle name="Normalny 13 2 2 2" xfId="840" xr:uid="{00000000-0005-0000-0000-000049030000}"/>
    <cellStyle name="Normalny 13 2 2 2 10" xfId="1256" xr:uid="{EBA314BF-56DD-4374-9550-33039EDC061B}"/>
    <cellStyle name="Normalny 13 2 2 2 2" xfId="841" xr:uid="{00000000-0005-0000-0000-00004A030000}"/>
    <cellStyle name="Normalny 13 2 2 2 2 2" xfId="842" xr:uid="{00000000-0005-0000-0000-00004B030000}"/>
    <cellStyle name="Normalny 13 2 2 2 2 2 2" xfId="1325" xr:uid="{6462E0FC-9B02-49C2-BADD-49760B130613}"/>
    <cellStyle name="Normalny 13 2 2 2 2 2 2 2" xfId="1617" xr:uid="{C51CCB6F-6A34-42D8-8E48-9626895651CF}"/>
    <cellStyle name="Normalny 13 2 2 2 2 2 2 3" xfId="1528" xr:uid="{9BA5CD0C-CA39-4FB0-B4AA-68377716E69D}"/>
    <cellStyle name="Normalny 13 2 2 2 2 2 3" xfId="1442" xr:uid="{846F10EC-B94E-4786-8356-AF18F6C2A762}"/>
    <cellStyle name="Normalny 13 2 2 2 2 2 4" xfId="1573" xr:uid="{F4BA869F-B63D-4786-95C7-2350A9629DD3}"/>
    <cellStyle name="Normalny 13 2 2 2 2 2 5" xfId="1374" xr:uid="{212366DC-AD66-452A-9F82-4418A74BCC42}"/>
    <cellStyle name="Normalny 13 2 2 2 2 2 6" xfId="1258" xr:uid="{3C9E98FB-DB9B-4D49-805E-443D1E2B47C8}"/>
    <cellStyle name="Normalny 13 2 2 2 2 3" xfId="1324" xr:uid="{096B74D6-A7B0-4CB4-BFBA-28C228AB0D10}"/>
    <cellStyle name="Normalny 13 2 2 2 2 3 2" xfId="1616" xr:uid="{6E39DB7F-A8A5-42D8-9C82-064A018B3BA5}"/>
    <cellStyle name="Normalny 13 2 2 2 2 3 3" xfId="1527" xr:uid="{3B547BA7-A08E-4B45-BD50-DB9F00381D6D}"/>
    <cellStyle name="Normalny 13 2 2 2 2 4" xfId="1441" xr:uid="{8C59849C-FADB-4636-B315-FEC9474C9B76}"/>
    <cellStyle name="Normalny 13 2 2 2 2 5" xfId="1572" xr:uid="{A9D999F3-6D76-498C-8E53-E1615186DE6E}"/>
    <cellStyle name="Normalny 13 2 2 2 2 6" xfId="1373" xr:uid="{61CFC745-3EFE-413C-9CBE-5FC0F8752E43}"/>
    <cellStyle name="Normalny 13 2 2 2 2 7" xfId="1257" xr:uid="{6B7F62AC-F7DD-4B42-9367-AFFC2AD58635}"/>
    <cellStyle name="Normalny 13 2 2 2 3" xfId="843" xr:uid="{00000000-0005-0000-0000-00004C030000}"/>
    <cellStyle name="Normalny 13 2 2 2 3 2" xfId="844" xr:uid="{00000000-0005-0000-0000-00004D030000}"/>
    <cellStyle name="Normalny 13 2 2 2 3 2 2" xfId="1327" xr:uid="{0AB26A12-6CFC-47C3-BF3D-122B4544E327}"/>
    <cellStyle name="Normalny 13 2 2 2 3 2 2 2" xfId="1619" xr:uid="{A89EE7F7-89F6-4A1E-A440-E95A8DFFBACD}"/>
    <cellStyle name="Normalny 13 2 2 2 3 2 2 3" xfId="1530" xr:uid="{F961117F-34CF-45DD-B3E5-49DCBF28612A}"/>
    <cellStyle name="Normalny 13 2 2 2 3 2 3" xfId="1444" xr:uid="{9FA951BA-3650-4EF0-B5CD-291E1C9E911B}"/>
    <cellStyle name="Normalny 13 2 2 2 3 2 4" xfId="1575" xr:uid="{04D8B1FE-770F-4302-A2F1-14BC8AA90DAA}"/>
    <cellStyle name="Normalny 13 2 2 2 3 2 5" xfId="1376" xr:uid="{DD140E84-7702-45EC-92FD-742BF47DE99A}"/>
    <cellStyle name="Normalny 13 2 2 2 3 2 6" xfId="1260" xr:uid="{D02C8735-4ABB-4333-BA4B-3C40D71137F9}"/>
    <cellStyle name="Normalny 13 2 2 2 3 3" xfId="1326" xr:uid="{50C5FC7E-A222-40C9-8CB4-EF1463F0793C}"/>
    <cellStyle name="Normalny 13 2 2 2 3 3 2" xfId="1618" xr:uid="{AD376D6E-79D9-4572-994B-0C91F064E788}"/>
    <cellStyle name="Normalny 13 2 2 2 3 3 3" xfId="1529" xr:uid="{001EF4ED-42D5-47DE-96C7-C367BCDF4B8B}"/>
    <cellStyle name="Normalny 13 2 2 2 3 4" xfId="1443" xr:uid="{28DA1A2F-1BC5-4D1C-B046-06DCE4717C6E}"/>
    <cellStyle name="Normalny 13 2 2 2 3 5" xfId="1574" xr:uid="{961904FB-4CB5-49B3-85F2-AE1FE7412CBA}"/>
    <cellStyle name="Normalny 13 2 2 2 3 6" xfId="1375" xr:uid="{C31024C9-ACD3-4A3B-BCFE-B6A140A813E6}"/>
    <cellStyle name="Normalny 13 2 2 2 3 7" xfId="1259" xr:uid="{F4EBC6C7-B1BA-421C-AA70-1DFB62DB6591}"/>
    <cellStyle name="Normalny 13 2 2 2 4" xfId="845" xr:uid="{00000000-0005-0000-0000-00004E030000}"/>
    <cellStyle name="Normalny 13 2 2 2 4 2" xfId="1328" xr:uid="{637B2123-819B-4ECD-B46C-DA59CC8AB941}"/>
    <cellStyle name="Normalny 13 2 2 2 4 2 2" xfId="1620" xr:uid="{2D66B306-9AD9-4730-B568-FBC4B5E53556}"/>
    <cellStyle name="Normalny 13 2 2 2 4 2 3" xfId="1531" xr:uid="{8AE3037F-2248-4E91-81C6-001479803563}"/>
    <cellStyle name="Normalny 13 2 2 2 4 3" xfId="1445" xr:uid="{DE7087B9-E857-4B3C-8595-627CDDA61133}"/>
    <cellStyle name="Normalny 13 2 2 2 4 4" xfId="1576" xr:uid="{2359BA35-E68C-4DB4-8BD2-279C34D33D68}"/>
    <cellStyle name="Normalny 13 2 2 2 4 5" xfId="1377" xr:uid="{D44BA6F3-EE32-4684-8B72-16D943095185}"/>
    <cellStyle name="Normalny 13 2 2 2 4 6" xfId="1261" xr:uid="{2138871B-2B0B-4D3C-9EBD-449E99D6B3CB}"/>
    <cellStyle name="Normalny 13 2 2 2 5" xfId="846" xr:uid="{00000000-0005-0000-0000-00004F030000}"/>
    <cellStyle name="Normalny 13 2 2 2 5 2" xfId="1329" xr:uid="{F313205C-D096-459E-B38E-C35A233C9C0A}"/>
    <cellStyle name="Normalny 13 2 2 2 5 2 2" xfId="1621" xr:uid="{70B65334-E849-4F5A-892F-AFC9E29B19B4}"/>
    <cellStyle name="Normalny 13 2 2 2 5 2 3" xfId="1532" xr:uid="{2A7E3B94-2986-450E-9D27-15FF5D6EFBAA}"/>
    <cellStyle name="Normalny 13 2 2 2 5 3" xfId="1446" xr:uid="{443546E1-3DBD-4442-A754-DC364B3319D1}"/>
    <cellStyle name="Normalny 13 2 2 2 5 4" xfId="1577" xr:uid="{E07C42A6-0427-46FB-8168-15F1E6EEE1DA}"/>
    <cellStyle name="Normalny 13 2 2 2 5 5" xfId="1378" xr:uid="{9207D2C1-5D53-425B-9704-DD534CE08061}"/>
    <cellStyle name="Normalny 13 2 2 2 5 6" xfId="1262" xr:uid="{FFC87827-FE32-4AB8-A3F6-B1882C616ED6}"/>
    <cellStyle name="Normalny 13 2 2 2 6" xfId="1323" xr:uid="{8705B215-B1EA-459A-821F-FC205D5F5E20}"/>
    <cellStyle name="Normalny 13 2 2 2 6 2" xfId="1615" xr:uid="{75CAE080-68D1-4A26-8993-81C6EA09634C}"/>
    <cellStyle name="Normalny 13 2 2 2 6 3" xfId="1526" xr:uid="{D8C107FF-21D2-4790-9496-87BB7FDBF5CA}"/>
    <cellStyle name="Normalny 13 2 2 2 7" xfId="1440" xr:uid="{FD3AD8AF-837C-4F8D-9186-C7FB956E4A1B}"/>
    <cellStyle name="Normalny 13 2 2 2 8" xfId="1571" xr:uid="{5FAB5616-3011-4DC9-8562-0593429C1E79}"/>
    <cellStyle name="Normalny 13 2 2 2 9" xfId="1372" xr:uid="{42A367D9-8495-4215-919D-C6C699015015}"/>
    <cellStyle name="Normalny 13 2 2 3" xfId="847" xr:uid="{00000000-0005-0000-0000-000050030000}"/>
    <cellStyle name="Normalny 13 2 2 3 2" xfId="848" xr:uid="{00000000-0005-0000-0000-000051030000}"/>
    <cellStyle name="Normalny 13 2 2 3 2 2" xfId="1331" xr:uid="{987AE107-08ED-4524-92B5-66F1E2C3F487}"/>
    <cellStyle name="Normalny 13 2 2 3 2 2 2" xfId="1623" xr:uid="{D245224F-12B0-4AB2-A639-A8119B1ACEB5}"/>
    <cellStyle name="Normalny 13 2 2 3 2 2 3" xfId="1534" xr:uid="{6140C708-0FC7-4CC1-B8F6-F0F7CBC6A712}"/>
    <cellStyle name="Normalny 13 2 2 3 2 3" xfId="1448" xr:uid="{E730ABD1-F028-437C-89EC-10B2D1445EC3}"/>
    <cellStyle name="Normalny 13 2 2 3 2 4" xfId="1579" xr:uid="{3F1686DB-F4E9-41FA-9806-7617FAEFD0E7}"/>
    <cellStyle name="Normalny 13 2 2 3 2 5" xfId="1380" xr:uid="{01350BE0-93FD-4F9A-8D3F-5554ABB1693E}"/>
    <cellStyle name="Normalny 13 2 2 3 2 6" xfId="1264" xr:uid="{3808862E-8E07-4541-A549-48000DF5B9EC}"/>
    <cellStyle name="Normalny 13 2 2 3 3" xfId="1330" xr:uid="{546DBBCD-960D-4DB3-A9FB-DF770C470C0B}"/>
    <cellStyle name="Normalny 13 2 2 3 3 2" xfId="1622" xr:uid="{364F1E13-9BFC-4BFA-943C-E87D6361028E}"/>
    <cellStyle name="Normalny 13 2 2 3 3 3" xfId="1533" xr:uid="{EFB32AD3-1468-430A-844D-3C021E17BE7D}"/>
    <cellStyle name="Normalny 13 2 2 3 4" xfId="1447" xr:uid="{96C9E9EE-46F8-490C-93DA-2BBA5BC223BC}"/>
    <cellStyle name="Normalny 13 2 2 3 5" xfId="1578" xr:uid="{CA28DFBF-7A00-4257-A21F-25682066F593}"/>
    <cellStyle name="Normalny 13 2 2 3 6" xfId="1379" xr:uid="{B8D97BA9-FB3B-4908-8D03-4D139259F7DA}"/>
    <cellStyle name="Normalny 13 2 2 3 7" xfId="1263" xr:uid="{6C2E24EF-242F-48C1-9245-B5B11BAC6B1F}"/>
    <cellStyle name="Normalny 13 2 2 4" xfId="849" xr:uid="{00000000-0005-0000-0000-000052030000}"/>
    <cellStyle name="Normalny 13 2 2 4 2" xfId="850" xr:uid="{00000000-0005-0000-0000-000053030000}"/>
    <cellStyle name="Normalny 13 2 2 4 2 2" xfId="1333" xr:uid="{7E9848DE-FD26-4B11-BC5C-A439014C8E97}"/>
    <cellStyle name="Normalny 13 2 2 4 2 2 2" xfId="1625" xr:uid="{004A1FCE-45F7-4E50-912D-3E6A3FBDD37C}"/>
    <cellStyle name="Normalny 13 2 2 4 2 2 3" xfId="1536" xr:uid="{A51929A6-A04C-4007-8494-BCE1DA9F79FE}"/>
    <cellStyle name="Normalny 13 2 2 4 2 3" xfId="1450" xr:uid="{7C3F8892-6D0D-47DB-8E0B-9D16419B3CB8}"/>
    <cellStyle name="Normalny 13 2 2 4 2 4" xfId="1581" xr:uid="{1C38500F-BBBD-48E1-878E-41F3C2CEF8A8}"/>
    <cellStyle name="Normalny 13 2 2 4 2 5" xfId="1382" xr:uid="{CB314DE8-A19C-4CC2-8FE7-4C3AC9A9363D}"/>
    <cellStyle name="Normalny 13 2 2 4 2 6" xfId="1266" xr:uid="{3AA8181F-006E-404A-9BAA-E9E3D4C8D5D3}"/>
    <cellStyle name="Normalny 13 2 2 4 3" xfId="1332" xr:uid="{791CFE28-8B94-48B2-8A09-3305F28AED0D}"/>
    <cellStyle name="Normalny 13 2 2 4 3 2" xfId="1624" xr:uid="{E046452E-4C7E-4676-8D3D-5C0B2FEB9A8D}"/>
    <cellStyle name="Normalny 13 2 2 4 3 3" xfId="1535" xr:uid="{8CE513FF-068F-4BFB-B176-8922FBC67775}"/>
    <cellStyle name="Normalny 13 2 2 4 4" xfId="1449" xr:uid="{73445D3A-0C8B-44C7-8184-993F41ACC23D}"/>
    <cellStyle name="Normalny 13 2 2 4 5" xfId="1580" xr:uid="{0687C4A9-162C-400B-B602-985D86DB6CA8}"/>
    <cellStyle name="Normalny 13 2 2 4 6" xfId="1381" xr:uid="{1351771A-10E9-4B2F-8971-DBBB5DFFA06C}"/>
    <cellStyle name="Normalny 13 2 2 4 7" xfId="1265" xr:uid="{E48D421B-31CA-4FC3-B0F1-0FF6F8930839}"/>
    <cellStyle name="Normalny 13 2 2 5" xfId="851" xr:uid="{00000000-0005-0000-0000-000054030000}"/>
    <cellStyle name="Normalny 13 2 2 5 2" xfId="1334" xr:uid="{61F760CB-5BD6-44F1-8D7A-71BCB2D855C6}"/>
    <cellStyle name="Normalny 13 2 2 5 2 2" xfId="1626" xr:uid="{8C10DCC7-5659-44D3-AE09-AB0D2B19E3E9}"/>
    <cellStyle name="Normalny 13 2 2 5 2 3" xfId="1537" xr:uid="{55B48EC3-434A-4428-9505-7CC546B8C040}"/>
    <cellStyle name="Normalny 13 2 2 5 3" xfId="1451" xr:uid="{7CDD0B4E-FAA2-444A-A4EE-5A3111F6E051}"/>
    <cellStyle name="Normalny 13 2 2 5 4" xfId="1582" xr:uid="{596F1653-EDEC-483A-BBC3-97C206EE2B42}"/>
    <cellStyle name="Normalny 13 2 2 5 5" xfId="1383" xr:uid="{F93FC175-DDA9-4F24-9839-D675A12EA4C8}"/>
    <cellStyle name="Normalny 13 2 2 5 6" xfId="1267" xr:uid="{CC9C8F9B-4169-44F0-93A2-97BD3EF062FF}"/>
    <cellStyle name="Normalny 13 2 2 6" xfId="852" xr:uid="{00000000-0005-0000-0000-000055030000}"/>
    <cellStyle name="Normalny 13 2 2 6 2" xfId="1335" xr:uid="{BB919A8D-56D8-4B9E-9838-67B607EBB56C}"/>
    <cellStyle name="Normalny 13 2 2 6 2 2" xfId="1627" xr:uid="{94634F6F-CE79-45F8-B543-83BDC5A5D97D}"/>
    <cellStyle name="Normalny 13 2 2 6 2 3" xfId="1538" xr:uid="{253BA001-53A5-4499-A7B9-9150AB6FACD3}"/>
    <cellStyle name="Normalny 13 2 2 6 3" xfId="1452" xr:uid="{5AF0C895-F152-4967-B706-32D9F983707B}"/>
    <cellStyle name="Normalny 13 2 2 6 4" xfId="1583" xr:uid="{F4E77647-B359-4C7E-996C-1F058418A9CC}"/>
    <cellStyle name="Normalny 13 2 2 6 5" xfId="1384" xr:uid="{64811FD1-CF0B-4EAC-BCD0-009A5AA11152}"/>
    <cellStyle name="Normalny 13 2 2 6 6" xfId="1268" xr:uid="{6E6EB4FC-E532-4FCA-9D42-7DE05048129A}"/>
    <cellStyle name="Normalny 13 2 2 7" xfId="1322" xr:uid="{89D987D6-2894-40B3-B41B-0C43422D088A}"/>
    <cellStyle name="Normalny 13 2 2 7 2" xfId="1614" xr:uid="{EC3651F3-B2FA-4866-8FC9-5D403DD42B8A}"/>
    <cellStyle name="Normalny 13 2 2 7 3" xfId="1525" xr:uid="{4361A5B8-3709-4ED9-8520-BCF0F54E29A1}"/>
    <cellStyle name="Normalny 13 2 2 8" xfId="1439" xr:uid="{AD30694F-978D-4D42-936F-1C74D7B1D426}"/>
    <cellStyle name="Normalny 13 2 2 9" xfId="1570" xr:uid="{CEFB5A43-A60F-4C35-98AF-E3203605CB86}"/>
    <cellStyle name="Normalny 13 2 3" xfId="853" xr:uid="{00000000-0005-0000-0000-000056030000}"/>
    <cellStyle name="Normalny 13 2 3 10" xfId="1269" xr:uid="{AB35F45C-19BD-49A3-80DB-0212ACE6CF1B}"/>
    <cellStyle name="Normalny 13 2 3 2" xfId="854" xr:uid="{00000000-0005-0000-0000-000057030000}"/>
    <cellStyle name="Normalny 13 2 3 2 2" xfId="855" xr:uid="{00000000-0005-0000-0000-000058030000}"/>
    <cellStyle name="Normalny 13 2 3 2 2 2" xfId="1338" xr:uid="{A25B864E-2AAE-447C-9D3A-9910FC5AD9B0}"/>
    <cellStyle name="Normalny 13 2 3 2 2 2 2" xfId="1630" xr:uid="{6C660869-81D0-4C40-9978-CBC91EA7D194}"/>
    <cellStyle name="Normalny 13 2 3 2 2 2 3" xfId="1541" xr:uid="{FCC28CCD-2F28-4FD6-B853-7EDF4478338E}"/>
    <cellStyle name="Normalny 13 2 3 2 2 3" xfId="1455" xr:uid="{CB373709-A6E8-48B7-B69B-6D193A29128C}"/>
    <cellStyle name="Normalny 13 2 3 2 2 4" xfId="1586" xr:uid="{B784E73A-F6FB-4867-B0E8-429374821827}"/>
    <cellStyle name="Normalny 13 2 3 2 2 5" xfId="1387" xr:uid="{624B417C-DFF2-4DB6-9DB7-BC78371C5C7E}"/>
    <cellStyle name="Normalny 13 2 3 2 2 6" xfId="1271" xr:uid="{FB70BE08-BCC2-4ACE-9398-FAF981CDCA8E}"/>
    <cellStyle name="Normalny 13 2 3 2 3" xfId="1337" xr:uid="{6744030E-DA59-4DED-9508-BA4CD0D58BB8}"/>
    <cellStyle name="Normalny 13 2 3 2 3 2" xfId="1629" xr:uid="{216AEC46-F40F-4BC6-8111-31927256327A}"/>
    <cellStyle name="Normalny 13 2 3 2 3 3" xfId="1540" xr:uid="{D3E13FDC-CEE0-4CFB-9F85-67F244B0367C}"/>
    <cellStyle name="Normalny 13 2 3 2 4" xfId="1454" xr:uid="{88163586-CD0D-4F35-BBA6-F31EA5DCC688}"/>
    <cellStyle name="Normalny 13 2 3 2 5" xfId="1585" xr:uid="{A3AD8BBB-C937-43EA-9D94-8B1F9378E0CA}"/>
    <cellStyle name="Normalny 13 2 3 2 6" xfId="1386" xr:uid="{05CBC691-F9E0-4759-BB09-874655637A3E}"/>
    <cellStyle name="Normalny 13 2 3 2 7" xfId="1270" xr:uid="{9CB3A056-DF4C-4AF9-B88D-2C36A14F815A}"/>
    <cellStyle name="Normalny 13 2 3 3" xfId="856" xr:uid="{00000000-0005-0000-0000-000059030000}"/>
    <cellStyle name="Normalny 13 2 3 3 2" xfId="857" xr:uid="{00000000-0005-0000-0000-00005A030000}"/>
    <cellStyle name="Normalny 13 2 3 3 2 2" xfId="1340" xr:uid="{517A0290-9D8C-4AB7-8699-6AD3660B6117}"/>
    <cellStyle name="Normalny 13 2 3 3 2 2 2" xfId="1632" xr:uid="{F1277C38-95C5-49AE-9A59-6650E8392000}"/>
    <cellStyle name="Normalny 13 2 3 3 2 2 3" xfId="1543" xr:uid="{4A303F1B-861D-45DD-8BB5-531B38F07698}"/>
    <cellStyle name="Normalny 13 2 3 3 2 3" xfId="1457" xr:uid="{A521E9ED-9AB5-424F-9266-424973C021E9}"/>
    <cellStyle name="Normalny 13 2 3 3 2 4" xfId="1588" xr:uid="{8BE781D9-7556-4ABB-9216-652E181CD7D4}"/>
    <cellStyle name="Normalny 13 2 3 3 2 5" xfId="1389" xr:uid="{56477E79-A1FF-47C8-B4C4-0FB1F9A00E39}"/>
    <cellStyle name="Normalny 13 2 3 3 2 6" xfId="1273" xr:uid="{29AE2455-A8BC-47E0-8586-714551882EDF}"/>
    <cellStyle name="Normalny 13 2 3 3 3" xfId="1339" xr:uid="{F50121FB-9ADC-4140-89B5-34B4D35CF58E}"/>
    <cellStyle name="Normalny 13 2 3 3 3 2" xfId="1631" xr:uid="{1051C3D9-F564-45DA-BFC7-BEF7186E3B03}"/>
    <cellStyle name="Normalny 13 2 3 3 3 3" xfId="1542" xr:uid="{D5F690EC-803D-4226-95A7-00D469A62558}"/>
    <cellStyle name="Normalny 13 2 3 3 4" xfId="1456" xr:uid="{DCEA7790-5B04-4349-9568-5D90CD6F4A4B}"/>
    <cellStyle name="Normalny 13 2 3 3 5" xfId="1587" xr:uid="{0176DCC4-5713-4936-8F24-D8516F4FC417}"/>
    <cellStyle name="Normalny 13 2 3 3 6" xfId="1388" xr:uid="{73351F65-6C50-4E20-B614-66F89AB7AC65}"/>
    <cellStyle name="Normalny 13 2 3 3 7" xfId="1272" xr:uid="{AB0AAC1E-A56C-4098-8D84-5AF472E8FF77}"/>
    <cellStyle name="Normalny 13 2 3 4" xfId="858" xr:uid="{00000000-0005-0000-0000-00005B030000}"/>
    <cellStyle name="Normalny 13 2 3 4 2" xfId="1341" xr:uid="{077FF017-4E32-40FB-A4E8-8FAE5474ED1E}"/>
    <cellStyle name="Normalny 13 2 3 4 2 2" xfId="1633" xr:uid="{86AB3B79-C69B-4AA5-8078-94C2A39FF7E7}"/>
    <cellStyle name="Normalny 13 2 3 4 2 3" xfId="1544" xr:uid="{419ADEC9-F79D-4A41-83CA-EB2F2BE06973}"/>
    <cellStyle name="Normalny 13 2 3 4 3" xfId="1458" xr:uid="{35A8F6E0-964B-4265-A3B2-AB614D023EDD}"/>
    <cellStyle name="Normalny 13 2 3 4 4" xfId="1589" xr:uid="{04B66C58-AF1E-44D5-8CE8-952BB7BA0B08}"/>
    <cellStyle name="Normalny 13 2 3 4 5" xfId="1390" xr:uid="{AF6BE3EA-3C40-42CB-A89F-896F86CDD75D}"/>
    <cellStyle name="Normalny 13 2 3 4 6" xfId="1274" xr:uid="{FB005C96-162D-4E12-994B-B4DFE6DCECBF}"/>
    <cellStyle name="Normalny 13 2 3 5" xfId="859" xr:uid="{00000000-0005-0000-0000-00005C030000}"/>
    <cellStyle name="Normalny 13 2 3 5 2" xfId="1342" xr:uid="{849E2ADC-6E9F-4C87-8F2C-48792DF94B72}"/>
    <cellStyle name="Normalny 13 2 3 5 2 2" xfId="1634" xr:uid="{485268A0-CF6B-436E-ACEE-DEB95B8AABB5}"/>
    <cellStyle name="Normalny 13 2 3 5 2 3" xfId="1545" xr:uid="{06D40DF8-B7C8-428B-BA17-A31144955EC6}"/>
    <cellStyle name="Normalny 13 2 3 5 3" xfId="1459" xr:uid="{E7207983-A515-4263-9FB9-2E718AB49473}"/>
    <cellStyle name="Normalny 13 2 3 5 4" xfId="1590" xr:uid="{94A120FD-6DA0-4757-B332-EC69DD5D65BB}"/>
    <cellStyle name="Normalny 13 2 3 5 5" xfId="1391" xr:uid="{ED19E427-CF40-4187-8E33-F7FEB33A924E}"/>
    <cellStyle name="Normalny 13 2 3 5 6" xfId="1275" xr:uid="{C49C4098-D445-4B75-9E5F-E2B94519FB67}"/>
    <cellStyle name="Normalny 13 2 3 6" xfId="1336" xr:uid="{FF82BDF5-2FFE-45B9-914B-96174D203650}"/>
    <cellStyle name="Normalny 13 2 3 6 2" xfId="1628" xr:uid="{AC5FBB58-227D-4680-B390-DB1C3C6E227E}"/>
    <cellStyle name="Normalny 13 2 3 6 3" xfId="1539" xr:uid="{02F411E3-330C-41AD-BCC2-ED99CBC32CEF}"/>
    <cellStyle name="Normalny 13 2 3 7" xfId="1453" xr:uid="{60D19D21-B05C-4332-982B-1B56FEB8F040}"/>
    <cellStyle name="Normalny 13 2 3 8" xfId="1584" xr:uid="{45B64EA7-DCA2-4319-8D0B-B368ECE54A2F}"/>
    <cellStyle name="Normalny 13 2 3 9" xfId="1385" xr:uid="{993EC987-5DC1-4C8A-AA30-B75C0D982FBF}"/>
    <cellStyle name="Normalny 13 2 4" xfId="860" xr:uid="{00000000-0005-0000-0000-00005D030000}"/>
    <cellStyle name="Normalny 13 2 4 2" xfId="861" xr:uid="{00000000-0005-0000-0000-00005E030000}"/>
    <cellStyle name="Normalny 13 2 4 2 2" xfId="1344" xr:uid="{C103923F-97D4-4A77-ACC9-4C592113024C}"/>
    <cellStyle name="Normalny 13 2 4 2 2 2" xfId="1636" xr:uid="{ACBFF39A-E49D-4026-A6D5-E867AC39F682}"/>
    <cellStyle name="Normalny 13 2 4 2 2 3" xfId="1547" xr:uid="{915CE374-C507-49F1-9C3B-2A64E86F771E}"/>
    <cellStyle name="Normalny 13 2 4 2 3" xfId="1461" xr:uid="{956B0B68-1E68-488A-88EF-52701AE35F15}"/>
    <cellStyle name="Normalny 13 2 4 2 4" xfId="1592" xr:uid="{B398DC9F-F209-4D6E-BA52-6E3C97EEF7EC}"/>
    <cellStyle name="Normalny 13 2 4 2 5" xfId="1393" xr:uid="{E80CFB98-6535-4874-BE01-91CC7DCC578D}"/>
    <cellStyle name="Normalny 13 2 4 2 6" xfId="1277" xr:uid="{B7268044-53B6-48E8-8D18-A2C5DFDFC5C6}"/>
    <cellStyle name="Normalny 13 2 4 3" xfId="1343" xr:uid="{BF53BB2A-CD98-4E7D-A4F9-DBBA9CF317DE}"/>
    <cellStyle name="Normalny 13 2 4 3 2" xfId="1635" xr:uid="{DD071763-BB74-4C3E-AD26-48DD08DEE832}"/>
    <cellStyle name="Normalny 13 2 4 3 3" xfId="1546" xr:uid="{60F14CD7-DB88-4AD2-8849-1AD288A8289C}"/>
    <cellStyle name="Normalny 13 2 4 4" xfId="1460" xr:uid="{54749C08-215F-42F8-A8B9-C7335838AB4B}"/>
    <cellStyle name="Normalny 13 2 4 5" xfId="1591" xr:uid="{25F5EEF7-4EB7-47D0-8A23-20DA8878B9B0}"/>
    <cellStyle name="Normalny 13 2 4 6" xfId="1392" xr:uid="{43A27A9E-4174-4E1B-A4A0-F5568D05A186}"/>
    <cellStyle name="Normalny 13 2 4 7" xfId="1276" xr:uid="{2055EC29-D3A2-4D69-9927-BE388E6410F9}"/>
    <cellStyle name="Normalny 13 2 5" xfId="862" xr:uid="{00000000-0005-0000-0000-00005F030000}"/>
    <cellStyle name="Normalny 13 2 5 2" xfId="863" xr:uid="{00000000-0005-0000-0000-000060030000}"/>
    <cellStyle name="Normalny 13 2 5 2 2" xfId="1346" xr:uid="{E4C65786-E388-423C-B2FB-745FC7419662}"/>
    <cellStyle name="Normalny 13 2 5 2 2 2" xfId="1638" xr:uid="{F74E23C2-D19E-4526-83FB-DBC856AB4057}"/>
    <cellStyle name="Normalny 13 2 5 2 2 3" xfId="1549" xr:uid="{32CB6D2D-AC0E-49FA-B151-C93FE65CB704}"/>
    <cellStyle name="Normalny 13 2 5 2 3" xfId="1463" xr:uid="{A3B36E5A-0FD7-475D-A33F-C8EAA4699CB4}"/>
    <cellStyle name="Normalny 13 2 5 2 4" xfId="1594" xr:uid="{133BB387-3576-49F8-968A-6B94615B5CB3}"/>
    <cellStyle name="Normalny 13 2 5 2 5" xfId="1395" xr:uid="{834548BE-3391-426D-9CB3-58481B9EDE6D}"/>
    <cellStyle name="Normalny 13 2 5 2 6" xfId="1279" xr:uid="{DE96060D-7467-406A-AA12-DE273D3232AE}"/>
    <cellStyle name="Normalny 13 2 5 3" xfId="1345" xr:uid="{71976F50-9B63-4DF9-9C12-0B3A6DF48ACB}"/>
    <cellStyle name="Normalny 13 2 5 3 2" xfId="1637" xr:uid="{A4329D8A-FD7D-4D43-9CF3-9E2F7BCB3100}"/>
    <cellStyle name="Normalny 13 2 5 3 3" xfId="1548" xr:uid="{228E1BA5-ED2E-4476-A4A1-5E164FF97746}"/>
    <cellStyle name="Normalny 13 2 5 4" xfId="1462" xr:uid="{7C57E944-A3AC-4384-99E1-AC12C113DA35}"/>
    <cellStyle name="Normalny 13 2 5 5" xfId="1593" xr:uid="{68EB776F-6488-47F5-B81F-D6748B40C109}"/>
    <cellStyle name="Normalny 13 2 5 6" xfId="1394" xr:uid="{637A5CB2-84B5-4234-9376-D974A4ACD1D7}"/>
    <cellStyle name="Normalny 13 2 5 7" xfId="1278" xr:uid="{5C010CFC-B15F-4666-974E-A9A79834395F}"/>
    <cellStyle name="Normalny 13 2 6" xfId="864" xr:uid="{00000000-0005-0000-0000-000061030000}"/>
    <cellStyle name="Normalny 13 2 6 2" xfId="1347" xr:uid="{30EDE0F5-A6BE-4FC4-9B1E-32AB72A5A9BA}"/>
    <cellStyle name="Normalny 13 2 6 2 2" xfId="1639" xr:uid="{8B7802F5-0839-4179-97C0-F4390B7C06C0}"/>
    <cellStyle name="Normalny 13 2 6 2 3" xfId="1550" xr:uid="{CD72213C-1C28-44EC-8234-3F9775C07676}"/>
    <cellStyle name="Normalny 13 2 6 3" xfId="1464" xr:uid="{E23E3408-04A5-491A-BCDE-E05CAF83D6F0}"/>
    <cellStyle name="Normalny 13 2 6 4" xfId="1595" xr:uid="{7677CF89-02EC-4EDF-A812-66733CEBF801}"/>
    <cellStyle name="Normalny 13 2 6 5" xfId="1396" xr:uid="{846A3C6D-B743-4CAB-8868-486ABF26BD54}"/>
    <cellStyle name="Normalny 13 2 6 6" xfId="1280" xr:uid="{406D0215-DA04-4276-A887-CCF64872375F}"/>
    <cellStyle name="Normalny 13 2 7" xfId="865" xr:uid="{00000000-0005-0000-0000-000062030000}"/>
    <cellStyle name="Normalny 13 2 7 2" xfId="1348" xr:uid="{A5C64D04-A1E4-4AAF-BBC6-D3F95FFF9525}"/>
    <cellStyle name="Normalny 13 2 7 2 2" xfId="1640" xr:uid="{27354F45-F5B7-49DD-A8F9-827AC9921CC2}"/>
    <cellStyle name="Normalny 13 2 7 2 3" xfId="1551" xr:uid="{6A458FC3-C6B3-4B4C-B5C0-E5B8950B2096}"/>
    <cellStyle name="Normalny 13 2 7 3" xfId="1465" xr:uid="{887DD937-0514-4703-BBDB-9F129D3B9AB2}"/>
    <cellStyle name="Normalny 13 2 7 4" xfId="1596" xr:uid="{06CAAC70-99DE-409B-A692-377D844E9929}"/>
    <cellStyle name="Normalny 13 2 7 5" xfId="1397" xr:uid="{DAF2F5D3-D47B-4B84-9101-920D2F6818D9}"/>
    <cellStyle name="Normalny 13 2 7 6" xfId="1281" xr:uid="{9D4E9392-7716-4CF8-A117-F88597EBFA07}"/>
    <cellStyle name="Normalny 13 2 8" xfId="1321" xr:uid="{0A0B8EC9-B07A-467E-BE51-E63A44E7257B}"/>
    <cellStyle name="Normalny 13 2 8 2" xfId="1613" xr:uid="{D4C62131-12A7-45E3-91B8-7E2CA69956AB}"/>
    <cellStyle name="Normalny 13 2 8 3" xfId="1524" xr:uid="{A494221E-B9FA-49BD-B20E-1742AE1C3D42}"/>
    <cellStyle name="Normalny 13 2 9" xfId="1438" xr:uid="{9DD84C3B-9180-4389-AD38-A9F0E0E034DB}"/>
    <cellStyle name="Normalny 13 3" xfId="866" xr:uid="{00000000-0005-0000-0000-000063030000}"/>
    <cellStyle name="Normalny 13 3 2" xfId="867" xr:uid="{00000000-0005-0000-0000-000064030000}"/>
    <cellStyle name="Normalny 13 3 2 2" xfId="868" xr:uid="{00000000-0005-0000-0000-000065030000}"/>
    <cellStyle name="Normalny 13 3 2 2 2" xfId="869" xr:uid="{00000000-0005-0000-0000-000066030000}"/>
    <cellStyle name="Normalny 13 3 2 2 3" xfId="870" xr:uid="{00000000-0005-0000-0000-000067030000}"/>
    <cellStyle name="Normalny 13 3 2 3" xfId="871" xr:uid="{00000000-0005-0000-0000-000068030000}"/>
    <cellStyle name="Normalny 13 3 2 4" xfId="872" xr:uid="{00000000-0005-0000-0000-000069030000}"/>
    <cellStyle name="Normalny 13 3 3" xfId="873" xr:uid="{00000000-0005-0000-0000-00006A030000}"/>
    <cellStyle name="Normalny 13 3 4" xfId="874" xr:uid="{00000000-0005-0000-0000-00006B030000}"/>
    <cellStyle name="Normalny 13 3 5" xfId="875" xr:uid="{00000000-0005-0000-0000-00006C030000}"/>
    <cellStyle name="Normalny 13 3 5 2" xfId="1307" xr:uid="{DB77D5FF-6C32-4AEF-8629-DF059578B46B}"/>
    <cellStyle name="Normalny 13 3 5 3" xfId="1282" xr:uid="{6B0493A3-24A8-44AB-B85A-62B6A7BE7E7D}"/>
    <cellStyle name="Normalny 13 3 6" xfId="876" xr:uid="{00000000-0005-0000-0000-00006D030000}"/>
    <cellStyle name="Normalny 13 3 6 2" xfId="1308" xr:uid="{45310D81-8EBB-477A-8C1A-82D00E7D998A}"/>
    <cellStyle name="Normalny 13 3 6 3" xfId="1283" xr:uid="{318588D9-35F7-464A-86D2-797B26DC94F2}"/>
    <cellStyle name="Normalny 13 4" xfId="877" xr:uid="{00000000-0005-0000-0000-00006E030000}"/>
    <cellStyle name="Normalny 13 4 2" xfId="878" xr:uid="{00000000-0005-0000-0000-00006F030000}"/>
    <cellStyle name="Normalny 13 4 3" xfId="879" xr:uid="{00000000-0005-0000-0000-000070030000}"/>
    <cellStyle name="Normalny 13 5" xfId="880" xr:uid="{00000000-0005-0000-0000-000071030000}"/>
    <cellStyle name="Normalny 13 5 2" xfId="881" xr:uid="{00000000-0005-0000-0000-000072030000}"/>
    <cellStyle name="Normalny 13 5 3" xfId="882" xr:uid="{00000000-0005-0000-0000-000073030000}"/>
    <cellStyle name="Normalny 13 6" xfId="883" xr:uid="{00000000-0005-0000-0000-000074030000}"/>
    <cellStyle name="Normalny 13 6 10" xfId="1284" xr:uid="{064B068E-3514-48E8-928D-82EA39FBB540}"/>
    <cellStyle name="Normalny 13 6 2" xfId="884" xr:uid="{00000000-0005-0000-0000-000075030000}"/>
    <cellStyle name="Normalny 13 6 2 2" xfId="885" xr:uid="{00000000-0005-0000-0000-000076030000}"/>
    <cellStyle name="Normalny 13 6 2 2 2" xfId="1351" xr:uid="{E5262E9D-9D1D-4C5F-A94D-2643BAF53613}"/>
    <cellStyle name="Normalny 13 6 2 2 2 2" xfId="1643" xr:uid="{4FD9DCD6-A453-416F-A90E-FA0C54868DEB}"/>
    <cellStyle name="Normalny 13 6 2 2 2 3" xfId="1554" xr:uid="{5C84E3B2-D50E-475B-9734-5A9288CBB9B3}"/>
    <cellStyle name="Normalny 13 6 2 2 3" xfId="1468" xr:uid="{83D2BFBE-A6D4-4878-9485-959C7810E3C1}"/>
    <cellStyle name="Normalny 13 6 2 2 4" xfId="1599" xr:uid="{C0FD2273-9B10-4D70-9ED5-B42C98C3F62A}"/>
    <cellStyle name="Normalny 13 6 2 2 5" xfId="1400" xr:uid="{3BAE45DD-E46E-4EC7-981C-71FE0C67E31A}"/>
    <cellStyle name="Normalny 13 6 2 2 6" xfId="1286" xr:uid="{EA1A02BF-399B-4AAB-99CF-A2BDD0CA4D33}"/>
    <cellStyle name="Normalny 13 6 2 3" xfId="1350" xr:uid="{BD264B48-5A21-4FC8-91E2-A6CB5727387D}"/>
    <cellStyle name="Normalny 13 6 2 3 2" xfId="1642" xr:uid="{E9DCBE67-4443-48BA-86CE-839A28712FE0}"/>
    <cellStyle name="Normalny 13 6 2 3 3" xfId="1553" xr:uid="{F2F18033-B2B9-4659-94A4-542364C7D0D2}"/>
    <cellStyle name="Normalny 13 6 2 4" xfId="1467" xr:uid="{6B10F751-709B-4C69-B02A-952445409860}"/>
    <cellStyle name="Normalny 13 6 2 5" xfId="1598" xr:uid="{E343D83C-4648-421F-81E6-F287B7FC0D59}"/>
    <cellStyle name="Normalny 13 6 2 6" xfId="1399" xr:uid="{7B804759-DED1-4C63-A24D-DC3AA98C5255}"/>
    <cellStyle name="Normalny 13 6 2 7" xfId="1285" xr:uid="{2AEE71F0-FC3C-4CB1-B63F-D39690081567}"/>
    <cellStyle name="Normalny 13 6 3" xfId="886" xr:uid="{00000000-0005-0000-0000-000077030000}"/>
    <cellStyle name="Normalny 13 6 3 2" xfId="887" xr:uid="{00000000-0005-0000-0000-000078030000}"/>
    <cellStyle name="Normalny 13 6 3 2 2" xfId="1353" xr:uid="{D6BD7E2D-12A2-4F6B-9C28-24114BFC5804}"/>
    <cellStyle name="Normalny 13 6 3 2 2 2" xfId="1645" xr:uid="{A27302B9-9522-4760-8E60-2FCC6D966680}"/>
    <cellStyle name="Normalny 13 6 3 2 2 3" xfId="1556" xr:uid="{23970284-81B8-42E3-84C4-4BF5CD7434F7}"/>
    <cellStyle name="Normalny 13 6 3 2 3" xfId="1470" xr:uid="{9FB436B6-E7DF-4F00-A256-6F6187769F8F}"/>
    <cellStyle name="Normalny 13 6 3 2 4" xfId="1601" xr:uid="{CCAFBB2A-A4F4-49CA-96D7-68D7F664E7E2}"/>
    <cellStyle name="Normalny 13 6 3 2 5" xfId="1402" xr:uid="{5BA2A117-0DAF-4A9F-BEF7-169C83A311AA}"/>
    <cellStyle name="Normalny 13 6 3 2 6" xfId="1288" xr:uid="{1F475504-A1BE-437D-87A7-D9903F79F597}"/>
    <cellStyle name="Normalny 13 6 3 3" xfId="1352" xr:uid="{D7CAD712-961F-431E-9B3C-B3886822AA36}"/>
    <cellStyle name="Normalny 13 6 3 3 2" xfId="1644" xr:uid="{2B3B43CD-E61E-47B0-81B0-57A8BE114A97}"/>
    <cellStyle name="Normalny 13 6 3 3 3" xfId="1555" xr:uid="{03F7EB5C-71C6-40CE-9561-DB23B0E5649A}"/>
    <cellStyle name="Normalny 13 6 3 4" xfId="1469" xr:uid="{06EAFECC-4956-42C2-BB31-EB17BEBCD6B8}"/>
    <cellStyle name="Normalny 13 6 3 5" xfId="1600" xr:uid="{AF99760A-3E89-4AD0-9565-C148EDEA3B25}"/>
    <cellStyle name="Normalny 13 6 3 6" xfId="1401" xr:uid="{F234E36D-1B8E-416F-A1B5-7F1DDA5A60B9}"/>
    <cellStyle name="Normalny 13 6 3 7" xfId="1287" xr:uid="{B165834B-06E1-4842-98DC-C20EA72FC6F8}"/>
    <cellStyle name="Normalny 13 6 4" xfId="888" xr:uid="{00000000-0005-0000-0000-000079030000}"/>
    <cellStyle name="Normalny 13 6 4 2" xfId="1354" xr:uid="{2FC331B8-2B96-4530-B897-50389E3F19AD}"/>
    <cellStyle name="Normalny 13 6 4 2 2" xfId="1646" xr:uid="{7AA52B2E-A617-44C1-A30E-0756EE80FCA0}"/>
    <cellStyle name="Normalny 13 6 4 2 3" xfId="1557" xr:uid="{00FC6E4B-23B3-431B-AFAE-78EFF917487E}"/>
    <cellStyle name="Normalny 13 6 4 3" xfId="1471" xr:uid="{5EBF0C00-9C2C-4938-837D-04401EE0F7C9}"/>
    <cellStyle name="Normalny 13 6 4 4" xfId="1602" xr:uid="{23974948-EFC3-462E-99CB-0C5A9FBBC1EB}"/>
    <cellStyle name="Normalny 13 6 4 5" xfId="1403" xr:uid="{6303B261-A911-4566-9399-1D5418A158CC}"/>
    <cellStyle name="Normalny 13 6 4 6" xfId="1289" xr:uid="{60153607-7523-4C4E-BC54-B2B233004B74}"/>
    <cellStyle name="Normalny 13 6 5" xfId="889" xr:uid="{00000000-0005-0000-0000-00007A030000}"/>
    <cellStyle name="Normalny 13 6 5 2" xfId="1355" xr:uid="{0F24F708-8314-44E1-9B21-AE79AE68E7A1}"/>
    <cellStyle name="Normalny 13 6 5 2 2" xfId="1647" xr:uid="{36B10D33-832D-4EAB-942D-6FDA77C4690F}"/>
    <cellStyle name="Normalny 13 6 5 2 3" xfId="1558" xr:uid="{6A23D5AF-F62E-4221-B9DE-06C6B1A37119}"/>
    <cellStyle name="Normalny 13 6 5 3" xfId="1472" xr:uid="{3ABA9436-7B3F-40A3-AD9C-6128E986D3E7}"/>
    <cellStyle name="Normalny 13 6 5 4" xfId="1603" xr:uid="{5858D355-856E-4C52-9C57-359C8FE618A9}"/>
    <cellStyle name="Normalny 13 6 5 5" xfId="1404" xr:uid="{5ED47ECC-5AB7-40EC-94E0-47ABE6D71AD7}"/>
    <cellStyle name="Normalny 13 6 5 6" xfId="1290" xr:uid="{0DA255A5-F44E-4623-8AE7-40E5166EA1C8}"/>
    <cellStyle name="Normalny 13 6 6" xfId="1349" xr:uid="{8AE81591-4380-47FB-A722-D29EC6FAAE2F}"/>
    <cellStyle name="Normalny 13 6 6 2" xfId="1641" xr:uid="{EB9E39F6-7AED-413D-B0E5-22DDE6E3E66A}"/>
    <cellStyle name="Normalny 13 6 6 3" xfId="1552" xr:uid="{8FC62FE1-93B4-4173-8D70-F552D033FDE0}"/>
    <cellStyle name="Normalny 13 6 7" xfId="1466" xr:uid="{449B2B5C-0E01-4C60-B742-16D258DA21E0}"/>
    <cellStyle name="Normalny 13 6 8" xfId="1597" xr:uid="{DC952D75-4F31-4A91-93DB-8EDB2E437A9B}"/>
    <cellStyle name="Normalny 13 6 9" xfId="1398" xr:uid="{5D06AD9F-C280-4534-8283-29781D713C91}"/>
    <cellStyle name="Normalny 13 7" xfId="890" xr:uid="{00000000-0005-0000-0000-00007B030000}"/>
    <cellStyle name="Normalny 13 7 2" xfId="891" xr:uid="{00000000-0005-0000-0000-00007C030000}"/>
    <cellStyle name="Normalny 13 7 2 2" xfId="1357" xr:uid="{F281FB0F-C4CC-4681-A701-43270DEE39DA}"/>
    <cellStyle name="Normalny 13 7 2 2 2" xfId="1649" xr:uid="{E475AC18-1AD4-4834-B485-5833DA182BDF}"/>
    <cellStyle name="Normalny 13 7 2 2 3" xfId="1560" xr:uid="{18655245-B9BC-47F2-A90B-D3401C6D0EB5}"/>
    <cellStyle name="Normalny 13 7 2 3" xfId="1474" xr:uid="{8AD73E20-5DBB-402B-B8CC-48C6814D7718}"/>
    <cellStyle name="Normalny 13 7 2 4" xfId="1605" xr:uid="{351C7598-9C38-4E60-AA81-E26D2FEB0F8A}"/>
    <cellStyle name="Normalny 13 7 2 5" xfId="1406" xr:uid="{4FDD20B2-8963-4FFE-8FBB-6EEC2AAF72BA}"/>
    <cellStyle name="Normalny 13 7 2 6" xfId="1292" xr:uid="{E9BA99A2-0542-4A1B-83F0-BDC4DE527314}"/>
    <cellStyle name="Normalny 13 7 3" xfId="1356" xr:uid="{8C274FFD-321B-4BFB-9873-948ACF168BA9}"/>
    <cellStyle name="Normalny 13 7 3 2" xfId="1648" xr:uid="{36853E2E-C2D4-465D-8B63-337B0F1B8D42}"/>
    <cellStyle name="Normalny 13 7 3 3" xfId="1559" xr:uid="{EEADBC88-C737-4328-864E-08ABB5BFD2FC}"/>
    <cellStyle name="Normalny 13 7 4" xfId="1473" xr:uid="{B5A50B20-8FE4-4C8C-BAEA-84465AE8A3D9}"/>
    <cellStyle name="Normalny 13 7 5" xfId="1604" xr:uid="{A4B1E4F8-9D1E-4C24-89CA-571AB7E5A6CA}"/>
    <cellStyle name="Normalny 13 7 6" xfId="1405" xr:uid="{92324A37-313B-4D3C-A28B-8CC7CE763440}"/>
    <cellStyle name="Normalny 13 7 7" xfId="1291" xr:uid="{21BAD5AC-C2D1-43E1-9E9C-C059D2732BF4}"/>
    <cellStyle name="Normalny 13 8" xfId="892" xr:uid="{00000000-0005-0000-0000-00007D030000}"/>
    <cellStyle name="Normalny 13 8 2" xfId="893" xr:uid="{00000000-0005-0000-0000-00007E030000}"/>
    <cellStyle name="Normalny 13 8 2 2" xfId="1359" xr:uid="{B3E74250-C201-4F4B-8399-6F35EAA56C97}"/>
    <cellStyle name="Normalny 13 8 2 2 2" xfId="1651" xr:uid="{620098E2-A59D-4850-8858-0F3BE055EBAC}"/>
    <cellStyle name="Normalny 13 8 2 2 3" xfId="1562" xr:uid="{3BE2C82E-1A74-4408-9B9C-7DBCDDCA5B20}"/>
    <cellStyle name="Normalny 13 8 2 3" xfId="1476" xr:uid="{2BAB8168-6C0C-468C-959E-EEBF72AA5E8A}"/>
    <cellStyle name="Normalny 13 8 2 4" xfId="1607" xr:uid="{92750FB5-BF9F-495F-B9ED-A80D8F06FCD0}"/>
    <cellStyle name="Normalny 13 8 2 5" xfId="1408" xr:uid="{962F2172-2E8B-4419-BC01-046E7EF0CE78}"/>
    <cellStyle name="Normalny 13 8 2 6" xfId="1294" xr:uid="{B8BE2A0E-A9AF-419A-B387-21A17597F267}"/>
    <cellStyle name="Normalny 13 8 3" xfId="1358" xr:uid="{230CD810-24D1-4442-AAD9-54E6A98313A9}"/>
    <cellStyle name="Normalny 13 8 3 2" xfId="1650" xr:uid="{EE395E8B-E831-4D34-A2F9-DBCCFFFCD1F4}"/>
    <cellStyle name="Normalny 13 8 3 3" xfId="1561" xr:uid="{2D3230C1-77D1-4810-9BFC-506304FEB767}"/>
    <cellStyle name="Normalny 13 8 4" xfId="1475" xr:uid="{61078994-9914-4830-889F-28DFBB7D38CB}"/>
    <cellStyle name="Normalny 13 8 5" xfId="1606" xr:uid="{01913F8B-A607-4E68-B7AF-B2041882DF17}"/>
    <cellStyle name="Normalny 13 8 6" xfId="1407" xr:uid="{8CA1FC4B-AC79-46A4-8D3D-8C340A7E80F5}"/>
    <cellStyle name="Normalny 13 8 7" xfId="1293" xr:uid="{E26CDCF5-D44F-482D-8079-F0C98D84CAFC}"/>
    <cellStyle name="Normalny 13 9" xfId="894" xr:uid="{00000000-0005-0000-0000-00007F030000}"/>
    <cellStyle name="Normalny 13 9 2" xfId="1360" xr:uid="{2502E0A5-30D0-4B8F-AAE9-D59FE7A9D896}"/>
    <cellStyle name="Normalny 13 9 2 2" xfId="1652" xr:uid="{6E219430-DBD3-43A8-AF3B-C948D4069EF6}"/>
    <cellStyle name="Normalny 13 9 2 3" xfId="1563" xr:uid="{A4FFD091-12E7-418D-8370-B31C36502407}"/>
    <cellStyle name="Normalny 13 9 3" xfId="1477" xr:uid="{E519E2E6-98E5-49C2-B707-2B3FEF464050}"/>
    <cellStyle name="Normalny 13 9 4" xfId="1608" xr:uid="{C3EB1912-77F9-4A52-90A1-5B9447B62866}"/>
    <cellStyle name="Normalny 13 9 5" xfId="1409" xr:uid="{28EA1A5A-B726-4431-9685-DD12AA3777CE}"/>
    <cellStyle name="Normalny 13 9 6" xfId="1295" xr:uid="{589DDFDB-4C83-4DA8-8B26-2226C8CAA4ED}"/>
    <cellStyle name="Normalny 14" xfId="895" xr:uid="{00000000-0005-0000-0000-000080030000}"/>
    <cellStyle name="Normalny 14 2" xfId="896" xr:uid="{00000000-0005-0000-0000-000081030000}"/>
    <cellStyle name="Normalny 14 2 2" xfId="897" xr:uid="{00000000-0005-0000-0000-000082030000}"/>
    <cellStyle name="Normalny 14 2 2 2" xfId="898" xr:uid="{00000000-0005-0000-0000-000083030000}"/>
    <cellStyle name="Normalny 14 2 2 2 2" xfId="1481" xr:uid="{31341362-B9B1-4B2B-B328-E4FB483DAFF8}"/>
    <cellStyle name="Normalny 14 2 2 3" xfId="899" xr:uid="{00000000-0005-0000-0000-000084030000}"/>
    <cellStyle name="Normalny 14 2 2 3 2" xfId="1482" xr:uid="{ECFE2362-B944-4D37-A26A-E0DC66E065CA}"/>
    <cellStyle name="Normalny 14 2 2 4" xfId="1480" xr:uid="{C32B27E8-E641-4BC9-806C-EFFED3638735}"/>
    <cellStyle name="Normalny 14 2 3" xfId="900" xr:uid="{00000000-0005-0000-0000-000085030000}"/>
    <cellStyle name="Normalny 14 2 3 2" xfId="1483" xr:uid="{3C560E5F-D69E-4DB6-B143-B00C4097A9A4}"/>
    <cellStyle name="Normalny 14 2 4" xfId="901" xr:uid="{00000000-0005-0000-0000-000086030000}"/>
    <cellStyle name="Normalny 14 2 4 2" xfId="1484" xr:uid="{DDDED293-0837-4764-B2CC-E40C2257D7C7}"/>
    <cellStyle name="Normalny 14 2 5" xfId="1479" xr:uid="{D2A7ACCE-8E70-4D2B-87C1-5514B3B7BDB6}"/>
    <cellStyle name="Normalny 14 3" xfId="902" xr:uid="{00000000-0005-0000-0000-000087030000}"/>
    <cellStyle name="Normalny 14 3 2" xfId="1485" xr:uid="{79B501E6-389A-471D-A372-58DB272AD0A4}"/>
    <cellStyle name="Normalny 14 4" xfId="903" xr:uid="{00000000-0005-0000-0000-000088030000}"/>
    <cellStyle name="Normalny 14 4 2" xfId="1486" xr:uid="{313CE5B8-D36E-4C1E-BC29-7C25E09A1E98}"/>
    <cellStyle name="Normalny 14 5" xfId="904" xr:uid="{00000000-0005-0000-0000-000089030000}"/>
    <cellStyle name="Normalny 14 5 2" xfId="1309" xr:uid="{159B3E16-96F1-4EDC-8A9E-468A0FEEE27E}"/>
    <cellStyle name="Normalny 14 5 2 2" xfId="1518" xr:uid="{5A6AF8EC-0091-40BF-834F-784072C5C20A}"/>
    <cellStyle name="Normalny 14 5 3" xfId="1487" xr:uid="{D7DFB86C-4500-462D-BB01-6CAD86951F77}"/>
    <cellStyle name="Normalny 14 5 4" xfId="1296" xr:uid="{CF5191BB-3EEB-4B03-9940-F72E51DE0AFC}"/>
    <cellStyle name="Normalny 14 6" xfId="1478" xr:uid="{D6F349E6-A7BF-4710-89E7-C366ED7E9873}"/>
    <cellStyle name="Normalny 15" xfId="905" xr:uid="{00000000-0005-0000-0000-00008A030000}"/>
    <cellStyle name="Normalny 15 2" xfId="906" xr:uid="{00000000-0005-0000-0000-00008B030000}"/>
    <cellStyle name="Normalny 15 2 2" xfId="1489" xr:uid="{CB002A50-C635-45E2-857E-01EB3C53E923}"/>
    <cellStyle name="Normalny 15 3" xfId="1488" xr:uid="{3AE850C8-5C6E-4E5E-BBA5-F3C472A8F170}"/>
    <cellStyle name="Normalny 16" xfId="907" xr:uid="{00000000-0005-0000-0000-00008C030000}"/>
    <cellStyle name="Normalny 16 2" xfId="908" xr:uid="{00000000-0005-0000-0000-00008D030000}"/>
    <cellStyle name="Normalny 16 2 2" xfId="1491" xr:uid="{DD5E6D14-883A-4212-960E-486C46F7D1D6}"/>
    <cellStyle name="Normalny 16 3" xfId="909" xr:uid="{00000000-0005-0000-0000-00008E030000}"/>
    <cellStyle name="Normalny 16 3 2" xfId="1492" xr:uid="{21918543-D83E-4438-A5C0-FF0CFEDF02EE}"/>
    <cellStyle name="Normalny 16 4" xfId="1490" xr:uid="{F9297333-9291-4F60-8FC2-817E77D5C885}"/>
    <cellStyle name="Normalny 17" xfId="910" xr:uid="{00000000-0005-0000-0000-00008F030000}"/>
    <cellStyle name="Normalny 17 2" xfId="1493" xr:uid="{AB1A872D-696A-42F2-A84A-CE4BB9D0ACC3}"/>
    <cellStyle name="Normalny 18" xfId="911" xr:uid="{00000000-0005-0000-0000-000090030000}"/>
    <cellStyle name="Normalny 18 2" xfId="1310" xr:uid="{D921C2B5-333E-4232-A92E-BF2316519731}"/>
    <cellStyle name="Normalny 18 2 2" xfId="1519" xr:uid="{B05D6AD4-971B-4855-A968-D90DB446182E}"/>
    <cellStyle name="Normalny 18 3" xfId="1494" xr:uid="{B656C1DC-AEC2-4CE6-9951-5D857D10A094}"/>
    <cellStyle name="Normalny 18 4" xfId="1297" xr:uid="{71CCF462-16C1-4C31-8FF5-28816B970127}"/>
    <cellStyle name="Normalny 19" xfId="912" xr:uid="{00000000-0005-0000-0000-000091030000}"/>
    <cellStyle name="Normalny 2" xfId="913" xr:uid="{00000000-0005-0000-0000-000092030000}"/>
    <cellStyle name="Normalny 2 2" xfId="914" xr:uid="{00000000-0005-0000-0000-000093030000}"/>
    <cellStyle name="Normalny 2 2 2" xfId="1496" xr:uid="{86A09A93-42A4-4597-B4F9-5425E2BB39E9}"/>
    <cellStyle name="Normalny 2 3" xfId="915" xr:uid="{00000000-0005-0000-0000-000094030000}"/>
    <cellStyle name="Normalny 2 3 2" xfId="1497" xr:uid="{17CAE586-94E8-4B82-8766-571CAD0FF2B1}"/>
    <cellStyle name="Normalny 2 4" xfId="1495" xr:uid="{72196C73-929B-4A46-ADB1-1D9A4231B965}"/>
    <cellStyle name="Normalny 20" xfId="916" xr:uid="{00000000-0005-0000-0000-000095030000}"/>
    <cellStyle name="Normalny 21" xfId="1313" xr:uid="{C7B9A167-F214-494E-9076-3F275B097323}"/>
    <cellStyle name="Normalny 22" xfId="1415" xr:uid="{C47030A9-EA98-454A-8C2F-3E4FAEFCD05D}"/>
    <cellStyle name="Normalny 3" xfId="917" xr:uid="{00000000-0005-0000-0000-000096030000}"/>
    <cellStyle name="Normalny 4" xfId="918" xr:uid="{00000000-0005-0000-0000-000097030000}"/>
    <cellStyle name="Normalny 5" xfId="919" xr:uid="{00000000-0005-0000-0000-000098030000}"/>
    <cellStyle name="Normalny 6" xfId="920" xr:uid="{00000000-0005-0000-0000-000099030000}"/>
    <cellStyle name="Normalny 7" xfId="921" xr:uid="{00000000-0005-0000-0000-00009A030000}"/>
    <cellStyle name="Normalny 8" xfId="922" xr:uid="{00000000-0005-0000-0000-00009B030000}"/>
    <cellStyle name="Normalny 9" xfId="923" xr:uid="{00000000-0005-0000-0000-00009C030000}"/>
    <cellStyle name="Normalny_S301-339-05" xfId="1246" xr:uid="{00000000-0005-0000-0000-00009D030000}"/>
    <cellStyle name="Normalny_T206" xfId="1245" xr:uid="{00000000-0005-0000-0000-00009E030000}"/>
    <cellStyle name="Note 2" xfId="924" xr:uid="{00000000-0005-0000-0000-00009F030000}"/>
    <cellStyle name="Note 3" xfId="925" xr:uid="{00000000-0005-0000-0000-0000A0030000}"/>
    <cellStyle name="Notiz 2" xfId="926" xr:uid="{00000000-0005-0000-0000-0000A1030000}"/>
    <cellStyle name="Obliczenia 10" xfId="927" xr:uid="{00000000-0005-0000-0000-0000A2030000}"/>
    <cellStyle name="Obliczenia 10 2" xfId="928" xr:uid="{00000000-0005-0000-0000-0000A3030000}"/>
    <cellStyle name="Obliczenia 10 3" xfId="929" xr:uid="{00000000-0005-0000-0000-0000A4030000}"/>
    <cellStyle name="Obliczenia 11" xfId="930" xr:uid="{00000000-0005-0000-0000-0000A5030000}"/>
    <cellStyle name="Obliczenia 12" xfId="931" xr:uid="{00000000-0005-0000-0000-0000A6030000}"/>
    <cellStyle name="Obliczenia 2" xfId="932" xr:uid="{00000000-0005-0000-0000-0000A7030000}"/>
    <cellStyle name="Obliczenia 3" xfId="933" xr:uid="{00000000-0005-0000-0000-0000A8030000}"/>
    <cellStyle name="Obliczenia 4" xfId="934" xr:uid="{00000000-0005-0000-0000-0000A9030000}"/>
    <cellStyle name="Obliczenia 5" xfId="935" xr:uid="{00000000-0005-0000-0000-0000AA030000}"/>
    <cellStyle name="Obliczenia 6" xfId="936" xr:uid="{00000000-0005-0000-0000-0000AB030000}"/>
    <cellStyle name="Obliczenia 7" xfId="937" xr:uid="{00000000-0005-0000-0000-0000AC030000}"/>
    <cellStyle name="Obliczenia 8" xfId="938" xr:uid="{00000000-0005-0000-0000-0000AD030000}"/>
    <cellStyle name="Obliczenia 9" xfId="939" xr:uid="{00000000-0005-0000-0000-0000AE030000}"/>
    <cellStyle name="Obliczenia 9 2" xfId="940" xr:uid="{00000000-0005-0000-0000-0000AF030000}"/>
    <cellStyle name="Obliczenia 9 3" xfId="941" xr:uid="{00000000-0005-0000-0000-0000B0030000}"/>
    <cellStyle name="Output 2" xfId="942" xr:uid="{00000000-0005-0000-0000-0000B1030000}"/>
    <cellStyle name="Output 3" xfId="943" xr:uid="{00000000-0005-0000-0000-0000B2030000}"/>
    <cellStyle name="Percent [2]" xfId="944" xr:uid="{00000000-0005-0000-0000-0000B3030000}"/>
    <cellStyle name="Procentowy 2" xfId="945" xr:uid="{00000000-0005-0000-0000-0000B4030000}"/>
    <cellStyle name="Procentowy 2 2" xfId="946" xr:uid="{00000000-0005-0000-0000-0000B5030000}"/>
    <cellStyle name="Procentowy 2 2 2" xfId="947" xr:uid="{00000000-0005-0000-0000-0000B6030000}"/>
    <cellStyle name="Procentowy 2 2 2 2" xfId="1500" xr:uid="{077B73F3-F036-46CD-A352-9250EE6E4714}"/>
    <cellStyle name="Procentowy 2 2 3" xfId="948" xr:uid="{00000000-0005-0000-0000-0000B7030000}"/>
    <cellStyle name="Procentowy 2 2 3 2" xfId="1501" xr:uid="{8DBE7DA9-C009-4FA8-944A-53436C800143}"/>
    <cellStyle name="Procentowy 2 2 4" xfId="1499" xr:uid="{B84BB9D7-6EA6-4AF8-89DF-DA0AE0440155}"/>
    <cellStyle name="Procentowy 2 3" xfId="949" xr:uid="{00000000-0005-0000-0000-0000B8030000}"/>
    <cellStyle name="Procentowy 2 3 2" xfId="950" xr:uid="{00000000-0005-0000-0000-0000B9030000}"/>
    <cellStyle name="Procentowy 2 3 2 2" xfId="951" xr:uid="{00000000-0005-0000-0000-0000BA030000}"/>
    <cellStyle name="Procentowy 2 3 2 2 2" xfId="1504" xr:uid="{A5F51CA3-6DB7-484C-9E2D-4B830C892CF2}"/>
    <cellStyle name="Procentowy 2 3 2 3" xfId="952" xr:uid="{00000000-0005-0000-0000-0000BB030000}"/>
    <cellStyle name="Procentowy 2 3 2 3 2" xfId="1505" xr:uid="{2205F37A-2F2B-4612-A854-C6135EB405B2}"/>
    <cellStyle name="Procentowy 2 3 2 4" xfId="1503" xr:uid="{50A6D686-3BDA-4562-8540-7557E16F1AC6}"/>
    <cellStyle name="Procentowy 2 3 3" xfId="953" xr:uid="{00000000-0005-0000-0000-0000BC030000}"/>
    <cellStyle name="Procentowy 2 3 3 2" xfId="1506" xr:uid="{BB4845C4-31A5-40A5-B9C1-623A9D6011C6}"/>
    <cellStyle name="Procentowy 2 3 4" xfId="1502" xr:uid="{20C2B203-5DD5-43BF-BF47-2805C9769CA4}"/>
    <cellStyle name="Procentowy 2 4" xfId="954" xr:uid="{00000000-0005-0000-0000-0000BD030000}"/>
    <cellStyle name="Procentowy 2 4 2" xfId="955" xr:uid="{00000000-0005-0000-0000-0000BE030000}"/>
    <cellStyle name="Procentowy 2 4 2 2" xfId="1508" xr:uid="{C6E4D18A-BF58-4F82-89EC-360629037A03}"/>
    <cellStyle name="Procentowy 2 4 3" xfId="956" xr:uid="{00000000-0005-0000-0000-0000BF030000}"/>
    <cellStyle name="Procentowy 2 4 3 2" xfId="1509" xr:uid="{0247F8A1-A7A2-4849-885F-26564A8D907E}"/>
    <cellStyle name="Procentowy 2 4 4" xfId="1507" xr:uid="{562C74DD-478D-47E2-B62E-A79B9609F409}"/>
    <cellStyle name="Procentowy 2 5" xfId="957" xr:uid="{00000000-0005-0000-0000-0000C0030000}"/>
    <cellStyle name="Procentowy 2 6" xfId="958" xr:uid="{00000000-0005-0000-0000-0000C1030000}"/>
    <cellStyle name="Procentowy 2 6 2" xfId="1311" xr:uid="{AA41C53E-E99F-49F8-874F-83F3E398C957}"/>
    <cellStyle name="Procentowy 2 6 2 2" xfId="1520" xr:uid="{F9BFDA3A-60E0-4299-84F5-DE1269456890}"/>
    <cellStyle name="Procentowy 2 6 3" xfId="1510" xr:uid="{D03F2750-FC09-4FB8-ABFA-42E8A5FC3E18}"/>
    <cellStyle name="Procentowy 2 6 4" xfId="1298" xr:uid="{02F6CACC-BED8-436C-83D2-623429B5BE1F}"/>
    <cellStyle name="Procentowy 2 7" xfId="959" xr:uid="{00000000-0005-0000-0000-0000C2030000}"/>
    <cellStyle name="Procentowy 2 7 2" xfId="1312" xr:uid="{B9B98953-BA0C-4687-869B-19BFD926AE62}"/>
    <cellStyle name="Procentowy 2 7 2 2" xfId="1521" xr:uid="{BA985BFE-B02D-4BA7-BA64-CCD672875248}"/>
    <cellStyle name="Procentowy 2 7 3" xfId="1511" xr:uid="{B7D657FC-AB4D-4F54-93E8-69841BAB4120}"/>
    <cellStyle name="Procentowy 2 7 4" xfId="1299" xr:uid="{ACB98FC3-C82A-433F-8BB9-F6BE9827DBE8}"/>
    <cellStyle name="Procentowy 2 8" xfId="1498" xr:uid="{77619CE2-072F-4F06-891F-767D4EA95E92}"/>
    <cellStyle name="Procentowy 3" xfId="960" xr:uid="{00000000-0005-0000-0000-0000C3030000}"/>
    <cellStyle name="Procentowy 4" xfId="961" xr:uid="{00000000-0005-0000-0000-0000C4030000}"/>
    <cellStyle name="Procentowy 5" xfId="1318" xr:uid="{B901262C-0CA4-4C44-A2D7-8592E7BDCC03}"/>
    <cellStyle name="Prozent 2" xfId="962" xr:uid="{00000000-0005-0000-0000-0000C5030000}"/>
    <cellStyle name="Prozent 2 2" xfId="963" xr:uid="{00000000-0005-0000-0000-0000C6030000}"/>
    <cellStyle name="Prozent 3" xfId="964" xr:uid="{00000000-0005-0000-0000-0000C7030000}"/>
    <cellStyle name="Prozent 4" xfId="965" xr:uid="{00000000-0005-0000-0000-0000C8030000}"/>
    <cellStyle name="Prozent 5" xfId="966" xr:uid="{00000000-0005-0000-0000-0000C9030000}"/>
    <cellStyle name="Prozent 5 2" xfId="967" xr:uid="{00000000-0005-0000-0000-0000CA030000}"/>
    <cellStyle name="Prozent 5 2 2" xfId="968" xr:uid="{00000000-0005-0000-0000-0000CB030000}"/>
    <cellStyle name="Prozent 5 2 3" xfId="969" xr:uid="{00000000-0005-0000-0000-0000CC030000}"/>
    <cellStyle name="Prozent 5 3" xfId="970" xr:uid="{00000000-0005-0000-0000-0000CD030000}"/>
    <cellStyle name="Prozent 5 3 2" xfId="971" xr:uid="{00000000-0005-0000-0000-0000CE030000}"/>
    <cellStyle name="Prozent 5 3 3" xfId="972" xr:uid="{00000000-0005-0000-0000-0000CF030000}"/>
    <cellStyle name="Prozent 5 3 4" xfId="973" xr:uid="{00000000-0005-0000-0000-0000D0030000}"/>
    <cellStyle name="Prozent 5 4" xfId="974" xr:uid="{00000000-0005-0000-0000-0000D1030000}"/>
    <cellStyle name="Prozent 6" xfId="975" xr:uid="{00000000-0005-0000-0000-0000D2030000}"/>
    <cellStyle name="Prozent 6 2" xfId="976" xr:uid="{00000000-0005-0000-0000-0000D3030000}"/>
    <cellStyle name="Prozent 6 2 2" xfId="977" xr:uid="{00000000-0005-0000-0000-0000D4030000}"/>
    <cellStyle name="Prozent 6 2 3" xfId="978" xr:uid="{00000000-0005-0000-0000-0000D5030000}"/>
    <cellStyle name="Prozent 6 3" xfId="979" xr:uid="{00000000-0005-0000-0000-0000D6030000}"/>
    <cellStyle name="Prozent 6 3 2" xfId="980" xr:uid="{00000000-0005-0000-0000-0000D7030000}"/>
    <cellStyle name="Prozent 6 3 3" xfId="981" xr:uid="{00000000-0005-0000-0000-0000D8030000}"/>
    <cellStyle name="Prozent 6 3 4" xfId="982" xr:uid="{00000000-0005-0000-0000-0000D9030000}"/>
    <cellStyle name="Prozent 6 4" xfId="983" xr:uid="{00000000-0005-0000-0000-0000DA030000}"/>
    <cellStyle name="Prozent 7" xfId="984" xr:uid="{00000000-0005-0000-0000-0000DB030000}"/>
    <cellStyle name="Prozent 8" xfId="985" xr:uid="{00000000-0005-0000-0000-0000DC030000}"/>
    <cellStyle name="Prozent 8 2" xfId="986" xr:uid="{00000000-0005-0000-0000-0000DD030000}"/>
    <cellStyle name="Prozent 8 2 2" xfId="987" xr:uid="{00000000-0005-0000-0000-0000DE030000}"/>
    <cellStyle name="Prozent 8 3" xfId="988" xr:uid="{00000000-0005-0000-0000-0000DF030000}"/>
    <cellStyle name="RangeName" xfId="989" xr:uid="{00000000-0005-0000-0000-0000E0030000}"/>
    <cellStyle name="SAPBEXaggData" xfId="990" xr:uid="{00000000-0005-0000-0000-0000E1030000}"/>
    <cellStyle name="SAPBEXaggDataEmph" xfId="991" xr:uid="{00000000-0005-0000-0000-0000E2030000}"/>
    <cellStyle name="SAPBEXaggItem" xfId="992" xr:uid="{00000000-0005-0000-0000-0000E3030000}"/>
    <cellStyle name="SAPBEXaggItemX" xfId="993" xr:uid="{00000000-0005-0000-0000-0000E4030000}"/>
    <cellStyle name="SAPBEXchaText" xfId="994" xr:uid="{00000000-0005-0000-0000-0000E5030000}"/>
    <cellStyle name="SAPBEXexcBad7" xfId="995" xr:uid="{00000000-0005-0000-0000-0000E6030000}"/>
    <cellStyle name="SAPBEXexcBad8" xfId="996" xr:uid="{00000000-0005-0000-0000-0000E7030000}"/>
    <cellStyle name="SAPBEXexcBad9" xfId="997" xr:uid="{00000000-0005-0000-0000-0000E8030000}"/>
    <cellStyle name="SAPBEXexcCritical4" xfId="998" xr:uid="{00000000-0005-0000-0000-0000E9030000}"/>
    <cellStyle name="SAPBEXexcCritical5" xfId="999" xr:uid="{00000000-0005-0000-0000-0000EA030000}"/>
    <cellStyle name="SAPBEXexcCritical6" xfId="1000" xr:uid="{00000000-0005-0000-0000-0000EB030000}"/>
    <cellStyle name="SAPBEXexcGood1" xfId="1001" xr:uid="{00000000-0005-0000-0000-0000EC030000}"/>
    <cellStyle name="SAPBEXexcGood2" xfId="1002" xr:uid="{00000000-0005-0000-0000-0000ED030000}"/>
    <cellStyle name="SAPBEXexcGood3" xfId="1003" xr:uid="{00000000-0005-0000-0000-0000EE030000}"/>
    <cellStyle name="SAPBEXfilterDrill" xfId="1004" xr:uid="{00000000-0005-0000-0000-0000EF030000}"/>
    <cellStyle name="SAPBEXfilterItem" xfId="1005" xr:uid="{00000000-0005-0000-0000-0000F0030000}"/>
    <cellStyle name="SAPBEXfilterText" xfId="1006" xr:uid="{00000000-0005-0000-0000-0000F1030000}"/>
    <cellStyle name="SAPBEXformats" xfId="1007" xr:uid="{00000000-0005-0000-0000-0000F2030000}"/>
    <cellStyle name="SAPBEXheaderItem" xfId="1008" xr:uid="{00000000-0005-0000-0000-0000F3030000}"/>
    <cellStyle name="SAPBEXheaderText" xfId="1009" xr:uid="{00000000-0005-0000-0000-0000F4030000}"/>
    <cellStyle name="SAPBEXHLevel0" xfId="1010" xr:uid="{00000000-0005-0000-0000-0000F5030000}"/>
    <cellStyle name="SAPBEXHLevel0X" xfId="1011" xr:uid="{00000000-0005-0000-0000-0000F6030000}"/>
    <cellStyle name="SAPBEXHLevel1" xfId="1012" xr:uid="{00000000-0005-0000-0000-0000F7030000}"/>
    <cellStyle name="SAPBEXHLevel1X" xfId="1013" xr:uid="{00000000-0005-0000-0000-0000F8030000}"/>
    <cellStyle name="SAPBEXHLevel2" xfId="1014" xr:uid="{00000000-0005-0000-0000-0000F9030000}"/>
    <cellStyle name="SAPBEXHLevel2X" xfId="1015" xr:uid="{00000000-0005-0000-0000-0000FA030000}"/>
    <cellStyle name="SAPBEXHLevel3" xfId="1016" xr:uid="{00000000-0005-0000-0000-0000FB030000}"/>
    <cellStyle name="SAPBEXHLevel3X" xfId="1017" xr:uid="{00000000-0005-0000-0000-0000FC030000}"/>
    <cellStyle name="SAPBEXresData" xfId="1018" xr:uid="{00000000-0005-0000-0000-0000FD030000}"/>
    <cellStyle name="SAPBEXresDataEmph" xfId="1019" xr:uid="{00000000-0005-0000-0000-0000FE030000}"/>
    <cellStyle name="SAPBEXresItem" xfId="1020" xr:uid="{00000000-0005-0000-0000-0000FF030000}"/>
    <cellStyle name="SAPBEXresItemX" xfId="1021" xr:uid="{00000000-0005-0000-0000-000000040000}"/>
    <cellStyle name="SAPBEXstdData" xfId="1022" xr:uid="{00000000-0005-0000-0000-000001040000}"/>
    <cellStyle name="SAPBEXstdDataEmph" xfId="1023" xr:uid="{00000000-0005-0000-0000-000002040000}"/>
    <cellStyle name="SAPBEXstdItem" xfId="1024" xr:uid="{00000000-0005-0000-0000-000003040000}"/>
    <cellStyle name="SAPBEXstdItemX" xfId="1025" xr:uid="{00000000-0005-0000-0000-000004040000}"/>
    <cellStyle name="SAPBEXtitle" xfId="1026" xr:uid="{00000000-0005-0000-0000-000005040000}"/>
    <cellStyle name="SAPBEXundefined" xfId="1027" xr:uid="{00000000-0005-0000-0000-000006040000}"/>
    <cellStyle name="Schlecht 2" xfId="1028" xr:uid="{00000000-0005-0000-0000-000007040000}"/>
    <cellStyle name="Shade" xfId="1029" xr:uid="{00000000-0005-0000-0000-000008040000}"/>
    <cellStyle name="Standaard_Blad1" xfId="1030" xr:uid="{00000000-0005-0000-0000-000009040000}"/>
    <cellStyle name="Standard 10" xfId="1031" xr:uid="{00000000-0005-0000-0000-00000A040000}"/>
    <cellStyle name="Standard 11" xfId="1032" xr:uid="{00000000-0005-0000-0000-00000B040000}"/>
    <cellStyle name="Standard 11 2" xfId="1033" xr:uid="{00000000-0005-0000-0000-00000C040000}"/>
    <cellStyle name="Standard 11 3" xfId="1034" xr:uid="{00000000-0005-0000-0000-00000D040000}"/>
    <cellStyle name="Standard 11 4" xfId="1035" xr:uid="{00000000-0005-0000-0000-00000E040000}"/>
    <cellStyle name="Standard 11 5" xfId="1036" xr:uid="{00000000-0005-0000-0000-00000F040000}"/>
    <cellStyle name="Standard 12" xfId="1037" xr:uid="{00000000-0005-0000-0000-000010040000}"/>
    <cellStyle name="Standard 12 2" xfId="1038" xr:uid="{00000000-0005-0000-0000-000011040000}"/>
    <cellStyle name="Standard 12 2 2" xfId="1039" xr:uid="{00000000-0005-0000-0000-000012040000}"/>
    <cellStyle name="Standard 12 2 2 2" xfId="1040" xr:uid="{00000000-0005-0000-0000-000013040000}"/>
    <cellStyle name="Standard 12 3" xfId="1041" xr:uid="{00000000-0005-0000-0000-000014040000}"/>
    <cellStyle name="Standard 12 4" xfId="1042" xr:uid="{00000000-0005-0000-0000-000015040000}"/>
    <cellStyle name="Standard 13" xfId="1043" xr:uid="{00000000-0005-0000-0000-000016040000}"/>
    <cellStyle name="Standard 2" xfId="1044" xr:uid="{00000000-0005-0000-0000-000017040000}"/>
    <cellStyle name="Standard 2 2" xfId="1045" xr:uid="{00000000-0005-0000-0000-000018040000}"/>
    <cellStyle name="Standard 2 3" xfId="1046" xr:uid="{00000000-0005-0000-0000-000019040000}"/>
    <cellStyle name="Standard 2 3 2" xfId="1047" xr:uid="{00000000-0005-0000-0000-00001A040000}"/>
    <cellStyle name="Standard 2 3 3" xfId="1048" xr:uid="{00000000-0005-0000-0000-00001B040000}"/>
    <cellStyle name="Standard 2 4" xfId="1049" xr:uid="{00000000-0005-0000-0000-00001C040000}"/>
    <cellStyle name="Standard 2 4 2" xfId="1050" xr:uid="{00000000-0005-0000-0000-00001D040000}"/>
    <cellStyle name="Standard 2 4 3" xfId="1051" xr:uid="{00000000-0005-0000-0000-00001E040000}"/>
    <cellStyle name="Standard 2 5" xfId="1052" xr:uid="{00000000-0005-0000-0000-00001F040000}"/>
    <cellStyle name="Standard 3" xfId="1053" xr:uid="{00000000-0005-0000-0000-000020040000}"/>
    <cellStyle name="Standard 3 2" xfId="1054" xr:uid="{00000000-0005-0000-0000-000021040000}"/>
    <cellStyle name="Standard 3_PL" xfId="1055" xr:uid="{00000000-0005-0000-0000-000022040000}"/>
    <cellStyle name="Standard 4" xfId="1056" xr:uid="{00000000-0005-0000-0000-000023040000}"/>
    <cellStyle name="Standard 4 2" xfId="1057" xr:uid="{00000000-0005-0000-0000-000024040000}"/>
    <cellStyle name="Standard 4_PL" xfId="1058" xr:uid="{00000000-0005-0000-0000-000025040000}"/>
    <cellStyle name="Standard 5" xfId="1059" xr:uid="{00000000-0005-0000-0000-000026040000}"/>
    <cellStyle name="Standard 5 2" xfId="1060" xr:uid="{00000000-0005-0000-0000-000027040000}"/>
    <cellStyle name="Standard 5 2 2" xfId="1061" xr:uid="{00000000-0005-0000-0000-000028040000}"/>
    <cellStyle name="Standard 5 2 2 2" xfId="1062" xr:uid="{00000000-0005-0000-0000-000029040000}"/>
    <cellStyle name="Standard 5 2 2 3" xfId="1063" xr:uid="{00000000-0005-0000-0000-00002A040000}"/>
    <cellStyle name="Standard 5 2 3" xfId="1064" xr:uid="{00000000-0005-0000-0000-00002B040000}"/>
    <cellStyle name="Standard 5 2 3 2" xfId="1065" xr:uid="{00000000-0005-0000-0000-00002C040000}"/>
    <cellStyle name="Standard 5 2 3 3" xfId="1066" xr:uid="{00000000-0005-0000-0000-00002D040000}"/>
    <cellStyle name="Standard 5 2 4" xfId="1067" xr:uid="{00000000-0005-0000-0000-00002E040000}"/>
    <cellStyle name="Standard 5 2 5" xfId="1068" xr:uid="{00000000-0005-0000-0000-00002F040000}"/>
    <cellStyle name="Standard 5 2_ELC_Processes" xfId="1069" xr:uid="{00000000-0005-0000-0000-000030040000}"/>
    <cellStyle name="Standard 5 3" xfId="1070" xr:uid="{00000000-0005-0000-0000-000031040000}"/>
    <cellStyle name="Standard 5 3 2" xfId="1071" xr:uid="{00000000-0005-0000-0000-000032040000}"/>
    <cellStyle name="Standard 5 3 3" xfId="1072" xr:uid="{00000000-0005-0000-0000-000033040000}"/>
    <cellStyle name="Standard 5 4" xfId="1073" xr:uid="{00000000-0005-0000-0000-000034040000}"/>
    <cellStyle name="Standard 5 4 2" xfId="1074" xr:uid="{00000000-0005-0000-0000-000035040000}"/>
    <cellStyle name="Standard 5 4 3" xfId="1075" xr:uid="{00000000-0005-0000-0000-000036040000}"/>
    <cellStyle name="Standard 5 5" xfId="1076" xr:uid="{00000000-0005-0000-0000-000037040000}"/>
    <cellStyle name="Standard 5 5 2" xfId="1077" xr:uid="{00000000-0005-0000-0000-000038040000}"/>
    <cellStyle name="Standard 5 5 3" xfId="1078" xr:uid="{00000000-0005-0000-0000-000039040000}"/>
    <cellStyle name="Standard 5 6" xfId="1079" xr:uid="{00000000-0005-0000-0000-00003A040000}"/>
    <cellStyle name="Standard 5 7" xfId="1080" xr:uid="{00000000-0005-0000-0000-00003B040000}"/>
    <cellStyle name="Standard 5_ELC_Processes" xfId="1081" xr:uid="{00000000-0005-0000-0000-00003C040000}"/>
    <cellStyle name="Standard 6" xfId="1082" xr:uid="{00000000-0005-0000-0000-00003D040000}"/>
    <cellStyle name="Standard 6 2" xfId="1083" xr:uid="{00000000-0005-0000-0000-00003E040000}"/>
    <cellStyle name="Standard 7" xfId="1084" xr:uid="{00000000-0005-0000-0000-00003F040000}"/>
    <cellStyle name="Standard 8" xfId="1085" xr:uid="{00000000-0005-0000-0000-000040040000}"/>
    <cellStyle name="Standard 8 2" xfId="1086" xr:uid="{00000000-0005-0000-0000-000041040000}"/>
    <cellStyle name="Standard 8 3" xfId="1087" xr:uid="{00000000-0005-0000-0000-000042040000}"/>
    <cellStyle name="Standard 9" xfId="1088" xr:uid="{00000000-0005-0000-0000-000043040000}"/>
    <cellStyle name="Standard 9 2" xfId="1089" xr:uid="{00000000-0005-0000-0000-000044040000}"/>
    <cellStyle name="Standard 9 3" xfId="1090" xr:uid="{00000000-0005-0000-0000-000045040000}"/>
    <cellStyle name="Standard_Results_Pan_EU_OLGA_NUC" xfId="1091" xr:uid="{00000000-0005-0000-0000-000046040000}"/>
    <cellStyle name="Style 21" xfId="1092" xr:uid="{00000000-0005-0000-0000-000047040000}"/>
    <cellStyle name="Style 22" xfId="1093" xr:uid="{00000000-0005-0000-0000-000048040000}"/>
    <cellStyle name="Style 23" xfId="1094" xr:uid="{00000000-0005-0000-0000-000049040000}"/>
    <cellStyle name="Style 24" xfId="1095" xr:uid="{00000000-0005-0000-0000-00004A040000}"/>
    <cellStyle name="Style 25" xfId="1096" xr:uid="{00000000-0005-0000-0000-00004B040000}"/>
    <cellStyle name="Style 26" xfId="1097" xr:uid="{00000000-0005-0000-0000-00004C040000}"/>
    <cellStyle name="Style 27" xfId="1098" xr:uid="{00000000-0005-0000-0000-00004D040000}"/>
    <cellStyle name="Style 28" xfId="1099" xr:uid="{00000000-0005-0000-0000-00004E040000}"/>
    <cellStyle name="Style 29" xfId="1100" xr:uid="{00000000-0005-0000-0000-00004F040000}"/>
    <cellStyle name="Style 30" xfId="1101" xr:uid="{00000000-0005-0000-0000-000050040000}"/>
    <cellStyle name="Style 31" xfId="1102" xr:uid="{00000000-0005-0000-0000-000051040000}"/>
    <cellStyle name="Style 32" xfId="1103" xr:uid="{00000000-0005-0000-0000-000052040000}"/>
    <cellStyle name="Style 33" xfId="1104" xr:uid="{00000000-0005-0000-0000-000053040000}"/>
    <cellStyle name="Style 34" xfId="1105" xr:uid="{00000000-0005-0000-0000-000054040000}"/>
    <cellStyle name="Style 35" xfId="1106" xr:uid="{00000000-0005-0000-0000-000055040000}"/>
    <cellStyle name="Suma" xfId="1107" xr:uid="{00000000-0005-0000-0000-000056040000}"/>
    <cellStyle name="Suma 10" xfId="1108" xr:uid="{00000000-0005-0000-0000-000057040000}"/>
    <cellStyle name="Suma 10 2" xfId="1109" xr:uid="{00000000-0005-0000-0000-000058040000}"/>
    <cellStyle name="Suma 10 3" xfId="1110" xr:uid="{00000000-0005-0000-0000-000059040000}"/>
    <cellStyle name="Suma 11" xfId="1111" xr:uid="{00000000-0005-0000-0000-00005A040000}"/>
    <cellStyle name="Suma 12" xfId="1112" xr:uid="{00000000-0005-0000-0000-00005B040000}"/>
    <cellStyle name="Suma 2" xfId="1113" xr:uid="{00000000-0005-0000-0000-00005C040000}"/>
    <cellStyle name="Suma 3" xfId="1114" xr:uid="{00000000-0005-0000-0000-00005D040000}"/>
    <cellStyle name="Suma 4" xfId="1115" xr:uid="{00000000-0005-0000-0000-00005E040000}"/>
    <cellStyle name="Suma 5" xfId="1116" xr:uid="{00000000-0005-0000-0000-00005F040000}"/>
    <cellStyle name="Suma 6" xfId="1117" xr:uid="{00000000-0005-0000-0000-000060040000}"/>
    <cellStyle name="Suma 7" xfId="1118" xr:uid="{00000000-0005-0000-0000-000061040000}"/>
    <cellStyle name="Suma 8" xfId="1119" xr:uid="{00000000-0005-0000-0000-000062040000}"/>
    <cellStyle name="Suma 9" xfId="1120" xr:uid="{00000000-0005-0000-0000-000063040000}"/>
    <cellStyle name="Suma 9 2" xfId="1121" xr:uid="{00000000-0005-0000-0000-000064040000}"/>
    <cellStyle name="Suma 9 3" xfId="1122" xr:uid="{00000000-0005-0000-0000-000065040000}"/>
    <cellStyle name="Suma_D_HEAT" xfId="1123" xr:uid="{00000000-0005-0000-0000-000066040000}"/>
    <cellStyle name="Tekst objaśnienia 10" xfId="1124" xr:uid="{00000000-0005-0000-0000-000067040000}"/>
    <cellStyle name="Tekst objaśnienia 10 2" xfId="1125" xr:uid="{00000000-0005-0000-0000-000068040000}"/>
    <cellStyle name="Tekst objaśnienia 10 3" xfId="1126" xr:uid="{00000000-0005-0000-0000-000069040000}"/>
    <cellStyle name="Tekst objaśnienia 11" xfId="1127" xr:uid="{00000000-0005-0000-0000-00006A040000}"/>
    <cellStyle name="Tekst objaśnienia 12" xfId="1128" xr:uid="{00000000-0005-0000-0000-00006B040000}"/>
    <cellStyle name="Tekst objaśnienia 2" xfId="1129" xr:uid="{00000000-0005-0000-0000-00006C040000}"/>
    <cellStyle name="Tekst objaśnienia 3" xfId="1130" xr:uid="{00000000-0005-0000-0000-00006D040000}"/>
    <cellStyle name="Tekst objaśnienia 4" xfId="1131" xr:uid="{00000000-0005-0000-0000-00006E040000}"/>
    <cellStyle name="Tekst objaśnienia 5" xfId="1132" xr:uid="{00000000-0005-0000-0000-00006F040000}"/>
    <cellStyle name="Tekst objaśnienia 6" xfId="1133" xr:uid="{00000000-0005-0000-0000-000070040000}"/>
    <cellStyle name="Tekst objaśnienia 7" xfId="1134" xr:uid="{00000000-0005-0000-0000-000071040000}"/>
    <cellStyle name="Tekst objaśnienia 8" xfId="1135" xr:uid="{00000000-0005-0000-0000-000072040000}"/>
    <cellStyle name="Tekst objaśnienia 9" xfId="1136" xr:uid="{00000000-0005-0000-0000-000073040000}"/>
    <cellStyle name="Tekst objaśnienia 9 2" xfId="1137" xr:uid="{00000000-0005-0000-0000-000074040000}"/>
    <cellStyle name="Tekst objaśnienia 9 3" xfId="1138" xr:uid="{00000000-0005-0000-0000-000075040000}"/>
    <cellStyle name="Tekst ostrzeżenia" xfId="1139" xr:uid="{00000000-0005-0000-0000-000076040000}"/>
    <cellStyle name="Tekst ostrzeżenia 10" xfId="1140" xr:uid="{00000000-0005-0000-0000-000077040000}"/>
    <cellStyle name="Tekst ostrzeżenia 10 2" xfId="1141" xr:uid="{00000000-0005-0000-0000-000078040000}"/>
    <cellStyle name="Tekst ostrzeżenia 10 3" xfId="1142" xr:uid="{00000000-0005-0000-0000-000079040000}"/>
    <cellStyle name="Tekst ostrzeżenia 11" xfId="1143" xr:uid="{00000000-0005-0000-0000-00007A040000}"/>
    <cellStyle name="Tekst ostrzeżenia 12" xfId="1144" xr:uid="{00000000-0005-0000-0000-00007B040000}"/>
    <cellStyle name="Tekst ostrzeżenia 2" xfId="1145" xr:uid="{00000000-0005-0000-0000-00007C040000}"/>
    <cellStyle name="Tekst ostrzeżenia 3" xfId="1146" xr:uid="{00000000-0005-0000-0000-00007D040000}"/>
    <cellStyle name="Tekst ostrzeżenia 4" xfId="1147" xr:uid="{00000000-0005-0000-0000-00007E040000}"/>
    <cellStyle name="Tekst ostrzeżenia 5" xfId="1148" xr:uid="{00000000-0005-0000-0000-00007F040000}"/>
    <cellStyle name="Tekst ostrzeżenia 6" xfId="1149" xr:uid="{00000000-0005-0000-0000-000080040000}"/>
    <cellStyle name="Tekst ostrzeżenia 7" xfId="1150" xr:uid="{00000000-0005-0000-0000-000081040000}"/>
    <cellStyle name="Tekst ostrzeżenia 8" xfId="1151" xr:uid="{00000000-0005-0000-0000-000082040000}"/>
    <cellStyle name="Tekst ostrzeżenia 9" xfId="1152" xr:uid="{00000000-0005-0000-0000-000083040000}"/>
    <cellStyle name="Tekst ostrzeżenia 9 2" xfId="1153" xr:uid="{00000000-0005-0000-0000-000084040000}"/>
    <cellStyle name="Tekst ostrzeżenia 9 3" xfId="1154" xr:uid="{00000000-0005-0000-0000-000085040000}"/>
    <cellStyle name="Tekst ostrzeżenia_D_HEAT" xfId="1155" xr:uid="{00000000-0005-0000-0000-000086040000}"/>
    <cellStyle name="Title 2" xfId="1156" xr:uid="{00000000-0005-0000-0000-000087040000}"/>
    <cellStyle name="Title 3" xfId="1157" xr:uid="{00000000-0005-0000-0000-000088040000}"/>
    <cellStyle name="Total 10" xfId="1158" xr:uid="{00000000-0005-0000-0000-000089040000}"/>
    <cellStyle name="Total 11" xfId="1159" xr:uid="{00000000-0005-0000-0000-00008A040000}"/>
    <cellStyle name="Total 12" xfId="1160" xr:uid="{00000000-0005-0000-0000-00008B040000}"/>
    <cellStyle name="Total 13" xfId="1161" xr:uid="{00000000-0005-0000-0000-00008C040000}"/>
    <cellStyle name="Total 14" xfId="1162" xr:uid="{00000000-0005-0000-0000-00008D040000}"/>
    <cellStyle name="Total 15" xfId="1163" xr:uid="{00000000-0005-0000-0000-00008E040000}"/>
    <cellStyle name="Total 16" xfId="1164" xr:uid="{00000000-0005-0000-0000-00008F040000}"/>
    <cellStyle name="Total 17" xfId="1165" xr:uid="{00000000-0005-0000-0000-000090040000}"/>
    <cellStyle name="Total 18" xfId="1166" xr:uid="{00000000-0005-0000-0000-000091040000}"/>
    <cellStyle name="Total 19" xfId="1167" xr:uid="{00000000-0005-0000-0000-000092040000}"/>
    <cellStyle name="Total 2" xfId="1168" xr:uid="{00000000-0005-0000-0000-000093040000}"/>
    <cellStyle name="Total 2 2" xfId="1169" xr:uid="{00000000-0005-0000-0000-000094040000}"/>
    <cellStyle name="Total 20" xfId="1170" xr:uid="{00000000-0005-0000-0000-000095040000}"/>
    <cellStyle name="Total 3" xfId="1171" xr:uid="{00000000-0005-0000-0000-000096040000}"/>
    <cellStyle name="Total 4" xfId="1172" xr:uid="{00000000-0005-0000-0000-000097040000}"/>
    <cellStyle name="Total 5" xfId="1173" xr:uid="{00000000-0005-0000-0000-000098040000}"/>
    <cellStyle name="Total 6" xfId="1174" xr:uid="{00000000-0005-0000-0000-000099040000}"/>
    <cellStyle name="Total 7" xfId="1175" xr:uid="{00000000-0005-0000-0000-00009A040000}"/>
    <cellStyle name="Total 8" xfId="1176" xr:uid="{00000000-0005-0000-0000-00009B040000}"/>
    <cellStyle name="Total 9" xfId="1177" xr:uid="{00000000-0005-0000-0000-00009C040000}"/>
    <cellStyle name="Tytuł 2" xfId="1178" xr:uid="{00000000-0005-0000-0000-00009D040000}"/>
    <cellStyle name="Tytuł 2 2" xfId="1179" xr:uid="{00000000-0005-0000-0000-00009E040000}"/>
    <cellStyle name="Tytuł 2 3" xfId="1180" xr:uid="{00000000-0005-0000-0000-00009F040000}"/>
    <cellStyle name="Tytuł 3" xfId="1181" xr:uid="{00000000-0005-0000-0000-0000A0040000}"/>
    <cellStyle name="Tytuł 3 2" xfId="1182" xr:uid="{00000000-0005-0000-0000-0000A1040000}"/>
    <cellStyle name="Tytuł 3 3" xfId="1183" xr:uid="{00000000-0005-0000-0000-0000A2040000}"/>
    <cellStyle name="Tytuł 4" xfId="1184" xr:uid="{00000000-0005-0000-0000-0000A3040000}"/>
    <cellStyle name="Tytuł 5" xfId="1185" xr:uid="{00000000-0005-0000-0000-0000A4040000}"/>
    <cellStyle name="Überschrift 1 2" xfId="1186" xr:uid="{00000000-0005-0000-0000-0000A5040000}"/>
    <cellStyle name="Überschrift 2 2" xfId="1187" xr:uid="{00000000-0005-0000-0000-0000A6040000}"/>
    <cellStyle name="Überschrift 3 2" xfId="1188" xr:uid="{00000000-0005-0000-0000-0000A7040000}"/>
    <cellStyle name="Überschrift 4 2" xfId="1189" xr:uid="{00000000-0005-0000-0000-0000A8040000}"/>
    <cellStyle name="Überschrift 5" xfId="1190" xr:uid="{00000000-0005-0000-0000-0000A9040000}"/>
    <cellStyle name="Unprot" xfId="1191" xr:uid="{00000000-0005-0000-0000-0000AA040000}"/>
    <cellStyle name="Unprot$" xfId="1192" xr:uid="{00000000-0005-0000-0000-0000AB040000}"/>
    <cellStyle name="Unprot_2010-09-24_LTP 2010_assumptions" xfId="1193" xr:uid="{00000000-0005-0000-0000-0000AC040000}"/>
    <cellStyle name="Unprotect" xfId="1194" xr:uid="{00000000-0005-0000-0000-0000AD040000}"/>
    <cellStyle name="Uwaga 10" xfId="1195" xr:uid="{00000000-0005-0000-0000-0000AE040000}"/>
    <cellStyle name="Uwaga 10 2" xfId="1196" xr:uid="{00000000-0005-0000-0000-0000AF040000}"/>
    <cellStyle name="Uwaga 10 3" xfId="1197" xr:uid="{00000000-0005-0000-0000-0000B0040000}"/>
    <cellStyle name="Uwaga 10 3 2" xfId="1198" xr:uid="{00000000-0005-0000-0000-0000B1040000}"/>
    <cellStyle name="Uwaga 10 3 3" xfId="1199" xr:uid="{00000000-0005-0000-0000-0000B2040000}"/>
    <cellStyle name="Uwaga 11" xfId="1200" xr:uid="{00000000-0005-0000-0000-0000B3040000}"/>
    <cellStyle name="Uwaga 11 2" xfId="1201" xr:uid="{00000000-0005-0000-0000-0000B4040000}"/>
    <cellStyle name="Uwaga 11 3" xfId="1202" xr:uid="{00000000-0005-0000-0000-0000B5040000}"/>
    <cellStyle name="Uwaga 12" xfId="1203" xr:uid="{00000000-0005-0000-0000-0000B6040000}"/>
    <cellStyle name="Uwaga 2" xfId="1204" xr:uid="{00000000-0005-0000-0000-0000B7040000}"/>
    <cellStyle name="Uwaga 3" xfId="1205" xr:uid="{00000000-0005-0000-0000-0000B8040000}"/>
    <cellStyle name="Uwaga 4" xfId="1206" xr:uid="{00000000-0005-0000-0000-0000B9040000}"/>
    <cellStyle name="Uwaga 5" xfId="1207" xr:uid="{00000000-0005-0000-0000-0000BA040000}"/>
    <cellStyle name="Uwaga 6" xfId="1208" xr:uid="{00000000-0005-0000-0000-0000BB040000}"/>
    <cellStyle name="Uwaga 7" xfId="1209" xr:uid="{00000000-0005-0000-0000-0000BC040000}"/>
    <cellStyle name="Uwaga 8" xfId="1210" xr:uid="{00000000-0005-0000-0000-0000BD040000}"/>
    <cellStyle name="Uwaga 9" xfId="1211" xr:uid="{00000000-0005-0000-0000-0000BE040000}"/>
    <cellStyle name="Uwaga 9 2" xfId="1212" xr:uid="{00000000-0005-0000-0000-0000BF040000}"/>
    <cellStyle name="Uwaga 9 3" xfId="1213" xr:uid="{00000000-0005-0000-0000-0000C0040000}"/>
    <cellStyle name="Uwaga 9 3 2" xfId="1214" xr:uid="{00000000-0005-0000-0000-0000C1040000}"/>
    <cellStyle name="Uwaga 9 3 3" xfId="1215" xr:uid="{00000000-0005-0000-0000-0000C2040000}"/>
    <cellStyle name="Verknüpfte Zelle 2" xfId="1216" xr:uid="{00000000-0005-0000-0000-0000C3040000}"/>
    <cellStyle name="Währung 2" xfId="1217" xr:uid="{00000000-0005-0000-0000-0000C4040000}"/>
    <cellStyle name="Währung 2 2" xfId="1218" xr:uid="{00000000-0005-0000-0000-0000C5040000}"/>
    <cellStyle name="Warnender Text 2" xfId="1219" xr:uid="{00000000-0005-0000-0000-0000C7040000}"/>
    <cellStyle name="Warning Text 2" xfId="1220" xr:uid="{00000000-0005-0000-0000-0000C8040000}"/>
    <cellStyle name="Warning Text 3" xfId="1221" xr:uid="{00000000-0005-0000-0000-0000C9040000}"/>
    <cellStyle name="X10_Figs 21 dec" xfId="1222" xr:uid="{00000000-0005-0000-0000-0000CA040000}"/>
    <cellStyle name="Zelle überprüfen 2" xfId="1223" xr:uid="{00000000-0005-0000-0000-0000CB040000}"/>
    <cellStyle name="Złe" xfId="1224" xr:uid="{00000000-0005-0000-0000-0000CC040000}"/>
    <cellStyle name="Złe 10" xfId="1225" xr:uid="{00000000-0005-0000-0000-0000CD040000}"/>
    <cellStyle name="Złe 10 2" xfId="1226" xr:uid="{00000000-0005-0000-0000-0000CE040000}"/>
    <cellStyle name="Złe 10 3" xfId="1227" xr:uid="{00000000-0005-0000-0000-0000CF040000}"/>
    <cellStyle name="Złe 11" xfId="1228" xr:uid="{00000000-0005-0000-0000-0000D0040000}"/>
    <cellStyle name="Złe 12" xfId="1229" xr:uid="{00000000-0005-0000-0000-0000D1040000}"/>
    <cellStyle name="Złe 2" xfId="1230" xr:uid="{00000000-0005-0000-0000-0000D2040000}"/>
    <cellStyle name="Złe 3" xfId="1231" xr:uid="{00000000-0005-0000-0000-0000D3040000}"/>
    <cellStyle name="Złe 4" xfId="1232" xr:uid="{00000000-0005-0000-0000-0000D4040000}"/>
    <cellStyle name="Złe 5" xfId="1233" xr:uid="{00000000-0005-0000-0000-0000D5040000}"/>
    <cellStyle name="Złe 6" xfId="1234" xr:uid="{00000000-0005-0000-0000-0000D6040000}"/>
    <cellStyle name="Złe 7" xfId="1235" xr:uid="{00000000-0005-0000-0000-0000D7040000}"/>
    <cellStyle name="Złe 8" xfId="1236" xr:uid="{00000000-0005-0000-0000-0000D8040000}"/>
    <cellStyle name="Złe 9" xfId="1237" xr:uid="{00000000-0005-0000-0000-0000D9040000}"/>
    <cellStyle name="Złe 9 2" xfId="1238" xr:uid="{00000000-0005-0000-0000-0000DA040000}"/>
    <cellStyle name="Złe 9 3" xfId="1239" xr:uid="{00000000-0005-0000-0000-0000DB040000}"/>
    <cellStyle name="Złe_D_HEAT" xfId="1240" xr:uid="{00000000-0005-0000-0000-0000DC040000}"/>
    <cellStyle name="Обычный_2++_CRFReport-template" xfId="1241" xr:uid="{00000000-0005-0000-0000-0000DD040000}"/>
    <cellStyle name="已访问的超链接" xfId="1242" xr:uid="{00000000-0005-0000-0000-0000DE04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13</xdr:row>
      <xdr:rowOff>95250</xdr:rowOff>
    </xdr:from>
    <xdr:to>
      <xdr:col>8</xdr:col>
      <xdr:colOff>485775</xdr:colOff>
      <xdr:row>18</xdr:row>
      <xdr:rowOff>43484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E8AC03-841C-44D3-B74D-641F1F4AE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4429125"/>
          <a:ext cx="5048250" cy="7578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6"/>
  <sheetViews>
    <sheetView workbookViewId="0">
      <selection activeCell="G24" sqref="G24"/>
    </sheetView>
  </sheetViews>
  <sheetFormatPr defaultColWidth="9.140625" defaultRowHeight="12.75"/>
  <cols>
    <col min="1" max="1" width="2.85546875" style="30" customWidth="1"/>
    <col min="2" max="2" width="36.5703125" style="30" customWidth="1"/>
    <col min="3" max="3" width="14" style="30" customWidth="1"/>
    <col min="4" max="4" width="14.42578125" style="30" customWidth="1"/>
    <col min="5" max="5" width="10.7109375" style="30" customWidth="1"/>
    <col min="6" max="6" width="10" style="30" customWidth="1"/>
    <col min="7" max="7" width="12" style="30" customWidth="1"/>
    <col min="8" max="8" width="11" style="30" customWidth="1"/>
    <col min="9" max="9" width="10.5703125" style="30" customWidth="1"/>
    <col min="10" max="16384" width="9.140625" style="30"/>
  </cols>
  <sheetData>
    <row r="2" spans="2:9" ht="15">
      <c r="B2" s="29" t="s">
        <v>0</v>
      </c>
    </row>
    <row r="4" spans="2:9" ht="13.5" thickBot="1">
      <c r="B4" s="31" t="s">
        <v>1</v>
      </c>
    </row>
    <row r="5" spans="2:9" ht="51">
      <c r="B5" s="32"/>
      <c r="C5" s="33" t="s">
        <v>2</v>
      </c>
      <c r="D5" s="33" t="s">
        <v>3</v>
      </c>
      <c r="E5" s="33" t="s">
        <v>4</v>
      </c>
      <c r="F5" s="33" t="s">
        <v>5</v>
      </c>
      <c r="G5" s="33" t="s">
        <v>6</v>
      </c>
      <c r="H5" s="33" t="s">
        <v>5</v>
      </c>
      <c r="I5" s="34" t="s">
        <v>6</v>
      </c>
    </row>
    <row r="6" spans="2:9" ht="15.75">
      <c r="B6" s="35"/>
      <c r="C6" s="36" t="s">
        <v>7</v>
      </c>
      <c r="D6" s="36" t="s">
        <v>8</v>
      </c>
      <c r="E6" s="36" t="s">
        <v>9</v>
      </c>
      <c r="F6" s="36" t="s">
        <v>10</v>
      </c>
      <c r="G6" s="36" t="s">
        <v>11</v>
      </c>
      <c r="H6" s="36" t="s">
        <v>12</v>
      </c>
      <c r="I6" s="37" t="s">
        <v>13</v>
      </c>
    </row>
    <row r="7" spans="2:9" ht="15.75">
      <c r="B7" s="38" t="s">
        <v>14</v>
      </c>
      <c r="C7" s="39">
        <v>17023.8</v>
      </c>
      <c r="D7" s="39">
        <v>47860</v>
      </c>
      <c r="E7" s="39"/>
      <c r="F7" s="39">
        <v>20996.9</v>
      </c>
      <c r="G7" s="39">
        <v>21688.2</v>
      </c>
      <c r="H7" s="39"/>
      <c r="I7" s="40"/>
    </row>
    <row r="8" spans="2:9" ht="15.75">
      <c r="B8" s="38" t="s">
        <v>15</v>
      </c>
      <c r="C8" s="39">
        <v>7391.2</v>
      </c>
      <c r="D8" s="39">
        <v>34351.700000000004</v>
      </c>
      <c r="E8" s="39"/>
      <c r="F8" s="39">
        <v>45266.6</v>
      </c>
      <c r="G8" s="39">
        <v>7935.8</v>
      </c>
      <c r="H8" s="39"/>
      <c r="I8" s="40"/>
    </row>
    <row r="9" spans="2:9" ht="15.75">
      <c r="B9" s="38" t="s">
        <v>16</v>
      </c>
      <c r="C9" s="39">
        <v>4094.6000000000022</v>
      </c>
      <c r="D9" s="39">
        <v>16259.8</v>
      </c>
      <c r="E9" s="39">
        <v>137017.29999999999</v>
      </c>
      <c r="F9" s="39">
        <v>11204.8</v>
      </c>
      <c r="G9" s="39">
        <v>21089.599999999999</v>
      </c>
      <c r="H9" s="39"/>
      <c r="I9" s="40"/>
    </row>
    <row r="10" spans="2:9" ht="15.75">
      <c r="B10" s="38" t="s">
        <v>17</v>
      </c>
      <c r="C10" s="39">
        <v>1656.5</v>
      </c>
      <c r="D10" s="39">
        <v>7464.6</v>
      </c>
      <c r="E10" s="39">
        <v>17571.3</v>
      </c>
      <c r="F10" s="39"/>
      <c r="G10" s="39"/>
      <c r="H10" s="39">
        <v>2109.5030000000002</v>
      </c>
      <c r="I10" s="40">
        <v>32467</v>
      </c>
    </row>
    <row r="11" spans="2:9" ht="15.75">
      <c r="B11" s="38" t="s">
        <v>18</v>
      </c>
      <c r="C11" s="39">
        <v>6227.6934486274804</v>
      </c>
      <c r="D11" s="39">
        <v>15623.048922000018</v>
      </c>
      <c r="E11" s="39"/>
      <c r="F11" s="39"/>
      <c r="G11" s="39"/>
      <c r="H11" s="39"/>
      <c r="I11" s="40"/>
    </row>
    <row r="12" spans="2:9" ht="15.75">
      <c r="B12" s="38" t="s">
        <v>19</v>
      </c>
      <c r="C12" s="39">
        <v>3954.96</v>
      </c>
      <c r="D12" s="39">
        <v>1957.92</v>
      </c>
      <c r="E12" s="39"/>
      <c r="F12" s="39"/>
      <c r="G12" s="39"/>
      <c r="H12" s="39"/>
      <c r="I12" s="40"/>
    </row>
    <row r="13" spans="2:9" ht="15.75">
      <c r="B13" s="59" t="s">
        <v>20</v>
      </c>
      <c r="C13" s="41">
        <v>19.806000000000001</v>
      </c>
      <c r="D13" s="39"/>
      <c r="E13" s="39">
        <v>81695</v>
      </c>
      <c r="F13" s="39">
        <v>4227</v>
      </c>
      <c r="G13" s="39">
        <v>22840</v>
      </c>
      <c r="H13" s="39"/>
      <c r="I13" s="40"/>
    </row>
    <row r="14" spans="2:9" ht="13.5" thickBot="1">
      <c r="B14" s="42" t="s">
        <v>21</v>
      </c>
      <c r="C14" s="43"/>
      <c r="D14" s="44">
        <f>SUM(D7:D13)</f>
        <v>123517.06892200003</v>
      </c>
      <c r="E14" s="44">
        <f>SUM(E7:E13)</f>
        <v>236283.59999999998</v>
      </c>
      <c r="F14" s="43"/>
      <c r="G14" s="43"/>
      <c r="H14" s="43"/>
      <c r="I14" s="45"/>
    </row>
    <row r="15" spans="2:9" customFormat="1" ht="15.6" customHeight="1">
      <c r="B15" s="60" t="s">
        <v>22</v>
      </c>
    </row>
    <row r="16" spans="2:9">
      <c r="B16" s="60" t="s">
        <v>23</v>
      </c>
    </row>
    <row r="17" spans="2:5">
      <c r="B17" s="60" t="s">
        <v>24</v>
      </c>
    </row>
    <row r="18" spans="2:5">
      <c r="B18" s="31"/>
      <c r="C18" s="31"/>
      <c r="D18" s="31"/>
      <c r="E18" s="31"/>
    </row>
    <row r="19" spans="2:5">
      <c r="B19" s="31"/>
      <c r="C19" s="31"/>
      <c r="D19" s="31"/>
      <c r="E19" s="31"/>
    </row>
    <row r="20" spans="2:5" ht="13.5" thickBot="1">
      <c r="B20" s="31" t="s">
        <v>25</v>
      </c>
      <c r="C20" s="31"/>
      <c r="D20" s="31"/>
      <c r="E20" s="31"/>
    </row>
    <row r="21" spans="2:5" ht="31.7" customHeight="1">
      <c r="B21" s="46" t="s">
        <v>26</v>
      </c>
      <c r="C21" s="33" t="s">
        <v>27</v>
      </c>
      <c r="D21" s="47" t="s">
        <v>28</v>
      </c>
      <c r="E21" s="31"/>
    </row>
    <row r="22" spans="2:5">
      <c r="B22" s="48" t="s">
        <v>29</v>
      </c>
      <c r="C22" s="36" t="s">
        <v>30</v>
      </c>
      <c r="D22" s="49">
        <v>0.95</v>
      </c>
      <c r="E22" s="31"/>
    </row>
    <row r="23" spans="2:5">
      <c r="B23" s="48" t="s">
        <v>31</v>
      </c>
      <c r="C23" s="36" t="s">
        <v>32</v>
      </c>
      <c r="D23" s="49">
        <v>0.95</v>
      </c>
      <c r="E23" s="31"/>
    </row>
    <row r="24" spans="2:5" ht="13.5" thickBot="1">
      <c r="B24" s="50" t="s">
        <v>33</v>
      </c>
      <c r="C24" s="51" t="s">
        <v>34</v>
      </c>
      <c r="D24" s="52">
        <v>0.85899999999999999</v>
      </c>
      <c r="E24" s="31"/>
    </row>
    <row r="25" spans="2:5">
      <c r="B25" s="61" t="s">
        <v>35</v>
      </c>
      <c r="C25" s="31"/>
      <c r="D25" s="53"/>
      <c r="E25" s="31"/>
    </row>
    <row r="26" spans="2:5">
      <c r="B26" s="31"/>
      <c r="C26" s="31"/>
      <c r="D26" s="53"/>
      <c r="E26" s="31"/>
    </row>
    <row r="27" spans="2:5">
      <c r="B27" s="31"/>
      <c r="C27" s="31"/>
      <c r="D27" s="53"/>
      <c r="E27" s="31"/>
    </row>
    <row r="28" spans="2:5" ht="13.5" thickBot="1">
      <c r="B28" s="31" t="s">
        <v>36</v>
      </c>
      <c r="C28" s="31"/>
      <c r="D28" s="53"/>
      <c r="E28" s="31"/>
    </row>
    <row r="29" spans="2:5" ht="24.75" customHeight="1">
      <c r="B29" s="46" t="s">
        <v>26</v>
      </c>
      <c r="C29" s="54" t="s">
        <v>37</v>
      </c>
      <c r="D29" s="34" t="s">
        <v>38</v>
      </c>
      <c r="E29" s="31"/>
    </row>
    <row r="30" spans="2:5">
      <c r="B30" s="48" t="s">
        <v>31</v>
      </c>
      <c r="C30" s="36" t="s">
        <v>39</v>
      </c>
      <c r="D30" s="49">
        <f>SUM(D7:D12)*D22/1000</f>
        <v>117.34121547590003</v>
      </c>
      <c r="E30" s="31"/>
    </row>
    <row r="31" spans="2:5" ht="13.5" thickBot="1">
      <c r="B31" s="50" t="s">
        <v>33</v>
      </c>
      <c r="C31" s="51" t="s">
        <v>40</v>
      </c>
      <c r="D31" s="52">
        <f>SUM(E7:E13)*D24/1000</f>
        <v>202.96761239999998</v>
      </c>
      <c r="E31" s="31"/>
    </row>
    <row r="32" spans="2:5">
      <c r="B32" s="61" t="s">
        <v>35</v>
      </c>
      <c r="C32" s="31"/>
      <c r="D32" s="31"/>
      <c r="E32" s="31"/>
    </row>
    <row r="33" spans="2:5">
      <c r="B33" s="31"/>
      <c r="C33" s="31"/>
      <c r="D33" s="31"/>
      <c r="E33" s="31"/>
    </row>
    <row r="36" spans="2:5">
      <c r="B36" s="3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Normal="100" workbookViewId="0">
      <selection activeCell="H16" sqref="H16"/>
    </sheetView>
  </sheetViews>
  <sheetFormatPr defaultRowHeight="12.75"/>
  <cols>
    <col min="1" max="1" width="2.85546875" customWidth="1"/>
    <col min="2" max="2" width="15" customWidth="1"/>
    <col min="3" max="3" width="12.85546875" customWidth="1"/>
    <col min="4" max="4" width="36" customWidth="1"/>
    <col min="5" max="5" width="10" customWidth="1"/>
    <col min="6" max="6" width="11.42578125" bestFit="1" customWidth="1"/>
    <col min="7" max="7" width="12" customWidth="1"/>
    <col min="8" max="8" width="14.28515625" customWidth="1"/>
    <col min="9" max="9" width="12.85546875" customWidth="1"/>
    <col min="10" max="10" width="10.42578125" customWidth="1"/>
    <col min="11" max="12" width="10.7109375" bestFit="1" customWidth="1"/>
  </cols>
  <sheetData>
    <row r="2" spans="2:9" ht="15">
      <c r="B2" s="5" t="s">
        <v>41</v>
      </c>
    </row>
    <row r="4" spans="2:9" ht="18">
      <c r="B4" s="62" t="s">
        <v>42</v>
      </c>
      <c r="C4" s="12"/>
      <c r="D4" s="13"/>
      <c r="E4" s="13"/>
      <c r="F4" s="13"/>
      <c r="G4" s="13"/>
      <c r="H4" s="13"/>
      <c r="I4" s="13"/>
    </row>
    <row r="5" spans="2:9" ht="12.75" customHeight="1">
      <c r="B5" s="14"/>
      <c r="C5" s="13"/>
      <c r="D5" s="13"/>
      <c r="E5" s="13"/>
      <c r="F5" s="13"/>
      <c r="G5" s="13"/>
      <c r="H5" s="13"/>
      <c r="I5" s="13"/>
    </row>
    <row r="6" spans="2:9" ht="17.45" customHeight="1">
      <c r="B6" s="14" t="s">
        <v>43</v>
      </c>
      <c r="C6" s="13"/>
      <c r="D6" s="13"/>
      <c r="E6" s="13"/>
      <c r="F6" s="13"/>
      <c r="G6" s="13"/>
      <c r="H6" s="13"/>
      <c r="I6" s="13"/>
    </row>
    <row r="7" spans="2:9" ht="15.75" customHeight="1">
      <c r="B7" s="23" t="s">
        <v>44</v>
      </c>
      <c r="C7" s="26" t="s">
        <v>45</v>
      </c>
      <c r="D7" s="26" t="s">
        <v>46</v>
      </c>
      <c r="E7" s="26" t="s">
        <v>47</v>
      </c>
      <c r="F7" s="26" t="s">
        <v>48</v>
      </c>
      <c r="G7" s="26" t="s">
        <v>49</v>
      </c>
      <c r="H7" s="26" t="s">
        <v>50</v>
      </c>
      <c r="I7" s="26" t="s">
        <v>51</v>
      </c>
    </row>
    <row r="8" spans="2:9" ht="47.25" customHeight="1" thickBot="1">
      <c r="B8" s="20" t="s">
        <v>52</v>
      </c>
      <c r="C8" s="25" t="s">
        <v>53</v>
      </c>
      <c r="D8" s="25" t="s">
        <v>54</v>
      </c>
      <c r="E8" s="25" t="s">
        <v>37</v>
      </c>
      <c r="F8" s="25" t="s">
        <v>55</v>
      </c>
      <c r="G8" s="25" t="s">
        <v>56</v>
      </c>
      <c r="H8" s="25" t="s">
        <v>57</v>
      </c>
      <c r="I8" s="25" t="s">
        <v>58</v>
      </c>
    </row>
    <row r="9" spans="2:9" ht="15.75" customHeight="1">
      <c r="B9" s="17" t="s">
        <v>59</v>
      </c>
      <c r="C9" s="19" t="s">
        <v>60</v>
      </c>
      <c r="D9" s="19" t="s">
        <v>61</v>
      </c>
      <c r="E9" s="17" t="s">
        <v>62</v>
      </c>
      <c r="F9" s="17"/>
      <c r="G9" s="17" t="s">
        <v>63</v>
      </c>
      <c r="H9" s="17" t="s">
        <v>64</v>
      </c>
      <c r="I9" s="17" t="s">
        <v>65</v>
      </c>
    </row>
    <row r="10" spans="2:9" ht="15.75" customHeight="1">
      <c r="B10" s="17" t="s">
        <v>66</v>
      </c>
      <c r="C10" s="19" t="s">
        <v>67</v>
      </c>
      <c r="D10" s="19" t="s">
        <v>68</v>
      </c>
      <c r="E10" s="19" t="s">
        <v>62</v>
      </c>
      <c r="F10" s="17"/>
      <c r="G10" s="17" t="s">
        <v>63</v>
      </c>
      <c r="H10" s="17" t="s">
        <v>64</v>
      </c>
      <c r="I10" s="19" t="s">
        <v>65</v>
      </c>
    </row>
    <row r="14" spans="2:9">
      <c r="B14" s="1"/>
    </row>
    <row r="23" ht="13.7" customHeight="1"/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9"/>
  <sheetViews>
    <sheetView workbookViewId="0">
      <selection activeCell="A10" sqref="A10:XFD10"/>
    </sheetView>
  </sheetViews>
  <sheetFormatPr defaultRowHeight="12.75"/>
  <cols>
    <col min="1" max="1" width="2.85546875" customWidth="1"/>
    <col min="2" max="2" width="20.85546875" customWidth="1"/>
    <col min="3" max="3" width="14.5703125" customWidth="1"/>
    <col min="4" max="4" width="26.42578125" customWidth="1"/>
    <col min="5" max="5" width="45.7109375" customWidth="1"/>
    <col min="6" max="8" width="11" customWidth="1"/>
    <col min="9" max="9" width="14.140625" customWidth="1"/>
    <col min="10" max="10" width="11" customWidth="1"/>
  </cols>
  <sheetData>
    <row r="2" spans="2:10" ht="15.75" customHeight="1">
      <c r="B2" s="22" t="s">
        <v>69</v>
      </c>
      <c r="C2" s="5"/>
      <c r="D2" s="5"/>
    </row>
    <row r="4" spans="2:10" ht="15.75" customHeight="1">
      <c r="B4" s="62" t="s">
        <v>70</v>
      </c>
      <c r="C4" s="15"/>
      <c r="D4" s="15"/>
      <c r="E4" s="15"/>
      <c r="F4" s="15"/>
      <c r="G4" s="15"/>
      <c r="H4" s="15"/>
      <c r="I4" s="15"/>
      <c r="J4" s="15"/>
    </row>
    <row r="5" spans="2:10">
      <c r="B5" s="14"/>
      <c r="C5" s="14"/>
      <c r="D5" s="15"/>
      <c r="E5" s="15"/>
      <c r="F5" s="15"/>
      <c r="G5" s="15"/>
      <c r="H5" s="15"/>
      <c r="I5" s="15"/>
      <c r="J5" s="15"/>
    </row>
    <row r="6" spans="2:10" ht="15.75" customHeight="1">
      <c r="B6" s="14" t="s">
        <v>71</v>
      </c>
      <c r="C6" s="14"/>
      <c r="D6" s="15"/>
      <c r="E6" s="15"/>
      <c r="F6" s="15"/>
      <c r="G6" s="15"/>
      <c r="H6" s="15"/>
      <c r="I6" s="15"/>
      <c r="J6" s="15"/>
    </row>
    <row r="7" spans="2:10" ht="15.75" customHeight="1">
      <c r="B7" s="23" t="s">
        <v>72</v>
      </c>
      <c r="C7" s="23" t="s">
        <v>73</v>
      </c>
      <c r="D7" s="23" t="s">
        <v>74</v>
      </c>
      <c r="E7" s="23" t="s">
        <v>75</v>
      </c>
      <c r="F7" s="23" t="s">
        <v>76</v>
      </c>
      <c r="G7" s="23" t="s">
        <v>77</v>
      </c>
      <c r="H7" s="23" t="s">
        <v>78</v>
      </c>
      <c r="I7" s="23" t="s">
        <v>79</v>
      </c>
      <c r="J7" s="23" t="s">
        <v>80</v>
      </c>
    </row>
    <row r="8" spans="2:10" ht="39" thickBot="1">
      <c r="B8" s="24" t="s">
        <v>81</v>
      </c>
      <c r="C8" s="24" t="s">
        <v>82</v>
      </c>
      <c r="D8" s="24" t="s">
        <v>83</v>
      </c>
      <c r="E8" s="24" t="s">
        <v>84</v>
      </c>
      <c r="F8" s="24" t="s">
        <v>85</v>
      </c>
      <c r="G8" s="24" t="s">
        <v>86</v>
      </c>
      <c r="H8" s="24" t="s">
        <v>87</v>
      </c>
      <c r="I8" s="58" t="s">
        <v>88</v>
      </c>
      <c r="J8" s="58" t="s">
        <v>89</v>
      </c>
    </row>
    <row r="9" spans="2:10" ht="15.75" customHeight="1">
      <c r="B9" s="17" t="s">
        <v>90</v>
      </c>
      <c r="C9" s="17" t="s">
        <v>91</v>
      </c>
      <c r="D9" s="19" t="s">
        <v>92</v>
      </c>
      <c r="E9" s="19" t="s">
        <v>93</v>
      </c>
      <c r="F9" s="17" t="s">
        <v>62</v>
      </c>
      <c r="G9" s="17" t="s">
        <v>62</v>
      </c>
      <c r="H9" s="17" t="s">
        <v>63</v>
      </c>
      <c r="I9" s="17"/>
      <c r="J9" s="17" t="s">
        <v>94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6"/>
  <sheetViews>
    <sheetView zoomScaleNormal="100" workbookViewId="0">
      <selection activeCell="A8" sqref="A8:XFD8"/>
    </sheetView>
  </sheetViews>
  <sheetFormatPr defaultRowHeight="12.75"/>
  <cols>
    <col min="1" max="1" width="2.85546875" customWidth="1"/>
    <col min="2" max="2" width="31.28515625" customWidth="1"/>
    <col min="3" max="3" width="47.85546875" bestFit="1" customWidth="1"/>
    <col min="4" max="4" width="17" customWidth="1"/>
    <col min="5" max="5" width="19.85546875" customWidth="1"/>
    <col min="6" max="6" width="17.140625" customWidth="1"/>
    <col min="7" max="7" width="16.140625" customWidth="1"/>
  </cols>
  <sheetData>
    <row r="2" spans="2:7" ht="18">
      <c r="B2" s="62" t="s">
        <v>95</v>
      </c>
      <c r="C2" s="11"/>
      <c r="E2" s="3"/>
    </row>
    <row r="3" spans="2:7">
      <c r="B3" s="4"/>
      <c r="C3" s="2"/>
      <c r="E3" s="3"/>
    </row>
    <row r="4" spans="2:7" ht="15.75" customHeight="1">
      <c r="E4" s="7" t="s">
        <v>96</v>
      </c>
      <c r="F4" s="6"/>
      <c r="G4" s="6"/>
    </row>
    <row r="5" spans="2:7" ht="15.75" customHeight="1">
      <c r="B5" s="27" t="s">
        <v>74</v>
      </c>
      <c r="C5" s="28" t="s">
        <v>97</v>
      </c>
      <c r="D5" s="27" t="s">
        <v>98</v>
      </c>
      <c r="E5" s="27" t="s">
        <v>99</v>
      </c>
      <c r="F5" s="8" t="s">
        <v>100</v>
      </c>
      <c r="G5" s="8" t="s">
        <v>101</v>
      </c>
    </row>
    <row r="6" spans="2:7" ht="31.7" customHeight="1" thickBot="1">
      <c r="B6" s="20" t="s">
        <v>102</v>
      </c>
      <c r="C6" s="20" t="s">
        <v>84</v>
      </c>
      <c r="D6" s="20" t="s">
        <v>103</v>
      </c>
      <c r="E6" s="20" t="s">
        <v>104</v>
      </c>
      <c r="F6" s="20" t="s">
        <v>28</v>
      </c>
      <c r="G6" s="20" t="s">
        <v>105</v>
      </c>
    </row>
    <row r="7" spans="2:7" ht="15.75" customHeight="1">
      <c r="B7" s="16" t="str">
        <f>SEC_Processes!D9</f>
        <v>ELE_ODBIORY_KONCOWE</v>
      </c>
      <c r="C7" s="16" t="str">
        <f>SEC_Processes!E9</f>
        <v>Procesy przetwarzania energii finalnej na uzyteczna</v>
      </c>
      <c r="D7" s="16" t="str">
        <f>SEC_Comm!C9</f>
        <v>ELE_nn</v>
      </c>
      <c r="E7" s="16" t="str">
        <f>SEC_Comm!C10</f>
        <v>ELE_UZYTEK</v>
      </c>
      <c r="F7" s="55">
        <v>1</v>
      </c>
      <c r="G7" s="56">
        <v>1</v>
      </c>
    </row>
    <row r="16" spans="2:7">
      <c r="D16" s="21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AR13"/>
  <sheetViews>
    <sheetView tabSelected="1" zoomScaleNormal="100" workbookViewId="0">
      <selection activeCell="W8" sqref="W8"/>
    </sheetView>
  </sheetViews>
  <sheetFormatPr defaultRowHeight="12.75"/>
  <cols>
    <col min="1" max="1" width="2.85546875" customWidth="1"/>
    <col min="2" max="2" width="13" customWidth="1"/>
    <col min="3" max="3" width="12.140625" customWidth="1"/>
    <col min="4" max="4" width="8.28515625" customWidth="1"/>
    <col min="5" max="6" width="8.5703125" customWidth="1"/>
    <col min="7" max="7" width="11" bestFit="1" customWidth="1"/>
    <col min="8" max="8" width="12.42578125" customWidth="1"/>
    <col min="9" max="9" width="9.140625" customWidth="1"/>
  </cols>
  <sheetData>
    <row r="2" spans="2:44" ht="18">
      <c r="B2" s="62" t="s">
        <v>106</v>
      </c>
      <c r="C2" s="11"/>
    </row>
    <row r="4" spans="2:44">
      <c r="B4" s="9" t="s">
        <v>107</v>
      </c>
      <c r="C4" s="10"/>
    </row>
    <row r="5" spans="2:44">
      <c r="B5" s="27" t="s">
        <v>45</v>
      </c>
      <c r="C5" s="27">
        <v>2020</v>
      </c>
      <c r="D5" s="27">
        <v>2025</v>
      </c>
      <c r="E5" s="27">
        <v>2030</v>
      </c>
      <c r="F5" s="27">
        <v>2035</v>
      </c>
      <c r="G5" s="27">
        <v>2040</v>
      </c>
      <c r="H5" s="27">
        <v>2045</v>
      </c>
      <c r="I5" s="27">
        <v>2050</v>
      </c>
    </row>
    <row r="6" spans="2:44" ht="15.75" customHeight="1" thickBot="1">
      <c r="B6" s="20" t="s">
        <v>108</v>
      </c>
      <c r="C6" s="64" t="s">
        <v>109</v>
      </c>
      <c r="D6" s="64"/>
      <c r="E6" s="64"/>
      <c r="F6" s="64"/>
      <c r="G6" s="64"/>
      <c r="H6" s="64"/>
      <c r="I6" s="64"/>
    </row>
    <row r="7" spans="2:44" ht="15.75" customHeight="1">
      <c r="B7" s="18" t="str">
        <f>SEC_Comm!C10</f>
        <v>ELE_UZYTEK</v>
      </c>
      <c r="C7" s="57">
        <f>C11*3.6</f>
        <v>569.68920000000003</v>
      </c>
      <c r="D7" s="57">
        <f t="shared" ref="D7:G7" si="0">D11*3.6</f>
        <v>648.43200000000002</v>
      </c>
      <c r="E7" s="57">
        <f t="shared" si="0"/>
        <v>696.6</v>
      </c>
      <c r="F7" s="57">
        <f t="shared" si="0"/>
        <v>794.11680000000001</v>
      </c>
      <c r="G7" s="57">
        <f t="shared" si="0"/>
        <v>1033.866</v>
      </c>
      <c r="H7" s="57"/>
      <c r="I7" s="57"/>
    </row>
    <row r="8" spans="2:44" ht="15.75" customHeight="1"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2:44" ht="15.75" customHeight="1"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1" spans="2:44">
      <c r="C11">
        <v>158.24700000000001</v>
      </c>
      <c r="D11">
        <v>180.12</v>
      </c>
      <c r="E11">
        <v>193.5</v>
      </c>
      <c r="F11">
        <v>220.58799999999999</v>
      </c>
      <c r="G11">
        <v>287.185</v>
      </c>
    </row>
    <row r="13" spans="2:44">
      <c r="F13" s="63"/>
    </row>
  </sheetData>
  <mergeCells count="1">
    <mergeCell ref="C6:I6"/>
  </mergeCells>
  <phoneticPr fontId="0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37FF9641-E764-4EF4-9A48-2A1ED77C1D23}"/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BILANS</vt:lpstr>
      <vt:lpstr>SEC_Comm</vt:lpstr>
      <vt:lpstr>SEC_Processes</vt:lpstr>
      <vt:lpstr>SEKTORY_KONCOWE</vt:lpstr>
      <vt:lpstr>POPYT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2025-12-20T17:05:58Z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56419014930725</vt:r8>
  </property>
</Properties>
</file>